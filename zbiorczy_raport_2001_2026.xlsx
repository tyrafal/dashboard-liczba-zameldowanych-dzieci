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cierz_Szkoly_Roczniki" sheetId="1" r:id="rId1"/>
    <sheet name="Roczniki_Szkoly" sheetId="2" r:id="rId2"/>
    <sheet name="Baza_Danych_Plaska" sheetId="3" r:id="rId3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%"/>
  </numFmts>
  <fonts count="4">
    <font>
      <sz val="10"/>
      <color rgb="FF0F172A"/>
      <name val="Segoe UI"/>
    </font>
    <font>
      <b/>
      <sz val="10"/>
      <color rgb="FFFFFFFF"/>
      <name val="Segoe UI"/>
    </font>
    <font>
      <b/>
      <sz val="10"/>
      <color rgb="FF0F172A"/>
      <name val="Segoe UI"/>
    </font>
    <font>
      <b/>
      <sz val="10"/>
      <color rgb="FF1E3A8A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D4ED8"/>
      </patternFill>
    </fill>
    <fill>
      <patternFill patternType="solid">
        <fgColor rgb="FFF1F5F9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medium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64" fontId="0" fillId="0" borderId="1" xfId="0" applyNumberFormat="1" applyFont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165" fontId="0" fillId="4" borderId="1" xfId="0" applyNumberFormat="1" applyFont="1" applyFill="1" applyBorder="1" applyAlignment="1">
      <alignment horizontal="right" vertical="center"/>
    </xf>
    <xf numFmtId="166" fontId="0" fillId="4" borderId="1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left" vertical="center"/>
    </xf>
    <xf numFmtId="164" fontId="2" fillId="5" borderId="2" xfId="0" applyNumberFormat="1" applyFont="1" applyFill="1" applyBorder="1" applyAlignment="1">
      <alignment horizontal="right" vertical="center"/>
    </xf>
    <xf numFmtId="165" fontId="2" fillId="5" borderId="2" xfId="0" applyNumberFormat="1" applyFont="1" applyFill="1" applyBorder="1" applyAlignment="1">
      <alignment horizontal="right" vertical="center"/>
    </xf>
    <xf numFmtId="166" fontId="2" fillId="5" borderId="2" xfId="0" applyNumberFormat="1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xSplit="3" ySplit="1" topLeftCell="D2" activePane="bottomRight" state="frozen"/>
      <selection pane="bottomRight" activeCell="D2" sqref="D2"/>
    </sheetView>
  </sheetViews>
  <sheetFormatPr defaultRowHeight="18"/>
  <cols>
    <col min="1" max="1" width="14" customWidth="1"/>
    <col min="2" max="2" width="36" customWidth="1"/>
    <col min="3" max="3" width="15" customWidth="1"/>
    <col min="4" max="29" width="8.5" customWidth="1"/>
    <col min="30" max="34" width="13" customWidth="1"/>
  </cols>
  <sheetData>
    <row r="1" ht="28" customHeight="1">
      <c r="A1" s="1" t="inlineStr">
        <is>
          <t>OKRĘG/OBWÓD</t>
        </is>
      </c>
      <c r="B1" s="1" t="inlineStr">
        <is>
          <t>SZKOŁA (SIEDZIBA)</t>
        </is>
      </c>
      <c r="C1" s="1" t="inlineStr">
        <is>
          <t>KATEGORIA</t>
        </is>
      </c>
      <c r="D1" s="1">
        <v>2001</v>
      </c>
      <c r="E1" s="1">
        <v>2002</v>
      </c>
      <c r="F1" s="1">
        <v>2003</v>
      </c>
      <c r="G1" s="1">
        <v>2004</v>
      </c>
      <c r="H1" s="1">
        <v>2005</v>
      </c>
      <c r="I1" s="1">
        <v>2006</v>
      </c>
      <c r="J1" s="1">
        <v>2007</v>
      </c>
      <c r="K1" s="1">
        <v>2008</v>
      </c>
      <c r="L1" s="1">
        <v>2009</v>
      </c>
      <c r="M1" s="1">
        <v>2010</v>
      </c>
      <c r="N1" s="1">
        <v>2011</v>
      </c>
      <c r="O1" s="1">
        <v>2012</v>
      </c>
      <c r="P1" s="1">
        <v>2013</v>
      </c>
      <c r="Q1" s="1">
        <v>2014</v>
      </c>
      <c r="R1" s="1">
        <v>2015</v>
      </c>
      <c r="S1" s="1">
        <v>2016</v>
      </c>
      <c r="T1" s="1">
        <v>2017</v>
      </c>
      <c r="U1" s="1">
        <v>2018</v>
      </c>
      <c r="V1" s="1">
        <v>2019</v>
      </c>
      <c r="W1" s="1">
        <v>2020</v>
      </c>
      <c r="X1" s="1">
        <v>2021</v>
      </c>
      <c r="Y1" s="1">
        <v>2022</v>
      </c>
      <c r="Z1" s="1">
        <v>2023</v>
      </c>
      <c r="AA1" s="1">
        <v>2024</v>
      </c>
      <c r="AB1" s="1">
        <v>2025</v>
      </c>
      <c r="AC1" s="1">
        <v>2026</v>
      </c>
      <c r="AD1" s="2" t="inlineStr">
        <is>
          <t>SUMA</t>
        </is>
      </c>
      <c r="AE1" s="2" t="inlineStr">
        <is>
          <t>ŚREDNIA</t>
        </is>
      </c>
      <c r="AF1" s="2" t="inlineStr">
        <is>
          <t>MIN</t>
        </is>
      </c>
      <c r="AG1" s="2" t="inlineStr">
        <is>
          <t>MAX</t>
        </is>
      </c>
      <c r="AH1" s="2" t="inlineStr">
        <is>
          <t>UDZIAŁ %</t>
        </is>
      </c>
    </row>
    <row r="2" ht="20" customHeight="1">
      <c r="A2" s="3" t="inlineStr">
        <is>
          <t>OBWÓD 1</t>
        </is>
      </c>
      <c r="B2" s="4" t="inlineStr">
        <is>
          <t>SZKOŁA PODSTAWOWA NR 1</t>
        </is>
      </c>
      <c r="C2" s="3" t="inlineStr">
        <is>
          <t>Miejskie</t>
        </is>
      </c>
      <c r="D2" s="5">
        <v>44</v>
      </c>
      <c r="E2" s="5">
        <v>40</v>
      </c>
      <c r="F2" s="5">
        <v>41</v>
      </c>
      <c r="G2" s="5">
        <v>46</v>
      </c>
      <c r="H2" s="5">
        <v>43</v>
      </c>
      <c r="I2" s="5">
        <v>52</v>
      </c>
      <c r="J2" s="5">
        <v>55</v>
      </c>
      <c r="K2" s="5">
        <v>70</v>
      </c>
      <c r="L2" s="5">
        <v>113</v>
      </c>
      <c r="M2" s="5">
        <v>82</v>
      </c>
      <c r="N2" s="5">
        <v>94</v>
      </c>
      <c r="O2" s="5">
        <v>46</v>
      </c>
      <c r="P2" s="5">
        <v>41</v>
      </c>
      <c r="Q2" s="5">
        <v>46</v>
      </c>
      <c r="R2" s="5">
        <v>37</v>
      </c>
      <c r="S2" s="5">
        <v>52</v>
      </c>
      <c r="T2" s="5">
        <v>34</v>
      </c>
      <c r="U2" s="5">
        <v>34</v>
      </c>
      <c r="V2" s="5">
        <v>42</v>
      </c>
      <c r="W2" s="5">
        <v>40</v>
      </c>
      <c r="X2" s="5">
        <v>38</v>
      </c>
      <c r="Y2" s="5">
        <v>39</v>
      </c>
      <c r="Z2" s="5">
        <v>23</v>
      </c>
      <c r="AA2" s="5">
        <v>19</v>
      </c>
      <c r="AB2" s="5">
        <v>18</v>
      </c>
      <c r="AC2" s="5">
        <v>28</v>
      </c>
      <c r="AD2" s="6">
        <f>SUM(D2:AC2)</f>
        <v>1217</v>
      </c>
      <c r="AE2" s="7">
        <f>AVERAGE(D2:AC2)</f>
        <v>46.8</v>
      </c>
      <c r="AF2" s="5">
        <f>MIN(D2:AC2)</f>
        <v>18</v>
      </c>
      <c r="AG2" s="5">
        <f>MAX(D2:AC2)</f>
        <v>113</v>
      </c>
      <c r="AH2" s="8">
        <f>AD2/$AD$19</f>
        <v>0.0621</v>
      </c>
    </row>
    <row r="3" ht="20" customHeight="1">
      <c r="A3" s="3" t="inlineStr">
        <is>
          <t>OBWÓD 2</t>
        </is>
      </c>
      <c r="B3" s="4" t="inlineStr">
        <is>
          <t>SZKOŁA PODSTAWOWA NR 2</t>
        </is>
      </c>
      <c r="C3" s="3" t="inlineStr">
        <is>
          <t>Miejskie</t>
        </is>
      </c>
      <c r="D3" s="5">
        <v>42</v>
      </c>
      <c r="E3" s="5">
        <v>26</v>
      </c>
      <c r="F3" s="5">
        <v>33</v>
      </c>
      <c r="G3" s="5">
        <v>45</v>
      </c>
      <c r="H3" s="5">
        <v>47</v>
      </c>
      <c r="I3" s="5">
        <v>49</v>
      </c>
      <c r="J3" s="5">
        <v>46</v>
      </c>
      <c r="K3" s="5">
        <v>54</v>
      </c>
      <c r="L3" s="5">
        <v>44</v>
      </c>
      <c r="M3" s="5">
        <v>38</v>
      </c>
      <c r="N3" s="5">
        <v>48</v>
      </c>
      <c r="O3" s="5">
        <v>48</v>
      </c>
      <c r="P3" s="5">
        <v>44</v>
      </c>
      <c r="Q3" s="5">
        <v>46</v>
      </c>
      <c r="R3" s="5">
        <v>47</v>
      </c>
      <c r="S3" s="5">
        <v>49</v>
      </c>
      <c r="T3" s="5">
        <v>57</v>
      </c>
      <c r="U3" s="5">
        <v>42</v>
      </c>
      <c r="V3" s="5">
        <v>39</v>
      </c>
      <c r="W3" s="5">
        <v>46</v>
      </c>
      <c r="X3" s="5">
        <v>32</v>
      </c>
      <c r="Y3" s="5">
        <v>34</v>
      </c>
      <c r="Z3" s="5">
        <v>26</v>
      </c>
      <c r="AA3" s="5">
        <v>15</v>
      </c>
      <c r="AB3" s="5">
        <v>17</v>
      </c>
      <c r="AC3" s="5">
        <v>21</v>
      </c>
      <c r="AD3" s="6">
        <f>SUM(D3:AC3)</f>
        <v>1035</v>
      </c>
      <c r="AE3" s="7">
        <f>AVERAGE(D3:AC3)</f>
        <v>39.8</v>
      </c>
      <c r="AF3" s="5">
        <f>MIN(D3:AC3)</f>
        <v>15</v>
      </c>
      <c r="AG3" s="5">
        <f>MAX(D3:AC3)</f>
        <v>57</v>
      </c>
      <c r="AH3" s="8">
        <f>AD3/$AD$19</f>
        <v>0.0528</v>
      </c>
    </row>
    <row r="4" ht="20" customHeight="1">
      <c r="A4" s="3" t="inlineStr">
        <is>
          <t>OBWÓD 3</t>
        </is>
      </c>
      <c r="B4" s="4" t="inlineStr">
        <is>
          <t>SZKOŁA PODSTAWOWA NR 3</t>
        </is>
      </c>
      <c r="C4" s="3" t="inlineStr">
        <is>
          <t>Miejskie</t>
        </is>
      </c>
      <c r="D4" s="5">
        <v>74</v>
      </c>
      <c r="E4" s="5">
        <v>72</v>
      </c>
      <c r="F4" s="5">
        <v>72</v>
      </c>
      <c r="G4" s="5">
        <v>79</v>
      </c>
      <c r="H4" s="5">
        <v>80</v>
      </c>
      <c r="I4" s="5">
        <v>75</v>
      </c>
      <c r="J4" s="5">
        <v>82</v>
      </c>
      <c r="K4" s="5">
        <v>85</v>
      </c>
      <c r="L4" s="5">
        <v>85</v>
      </c>
      <c r="M4" s="5">
        <v>112</v>
      </c>
      <c r="N4" s="5">
        <v>83</v>
      </c>
      <c r="O4" s="5">
        <v>73</v>
      </c>
      <c r="P4" s="5">
        <v>58</v>
      </c>
      <c r="Q4" s="5">
        <v>65</v>
      </c>
      <c r="R4" s="5">
        <v>85</v>
      </c>
      <c r="S4" s="5">
        <v>78</v>
      </c>
      <c r="T4" s="5">
        <v>74</v>
      </c>
      <c r="U4" s="5">
        <v>61</v>
      </c>
      <c r="V4" s="5">
        <v>82</v>
      </c>
      <c r="W4" s="5">
        <v>62</v>
      </c>
      <c r="X4" s="5">
        <v>48</v>
      </c>
      <c r="Y4" s="5">
        <v>47</v>
      </c>
      <c r="Z4" s="5">
        <v>50</v>
      </c>
      <c r="AA4" s="5">
        <v>37</v>
      </c>
      <c r="AB4" s="5">
        <v>44</v>
      </c>
      <c r="AC4" s="5">
        <v>20</v>
      </c>
      <c r="AD4" s="6">
        <f>SUM(D4:AC4)</f>
        <v>1783</v>
      </c>
      <c r="AE4" s="7">
        <f>AVERAGE(D4:AC4)</f>
        <v>68.6</v>
      </c>
      <c r="AF4" s="5">
        <f>MIN(D4:AC4)</f>
        <v>20</v>
      </c>
      <c r="AG4" s="5">
        <f>MAX(D4:AC4)</f>
        <v>112</v>
      </c>
      <c r="AH4" s="8">
        <f>AD4/$AD$19</f>
        <v>0.091</v>
      </c>
    </row>
    <row r="5" ht="20" customHeight="1">
      <c r="A5" s="3" t="inlineStr">
        <is>
          <t>OBWÓD 6</t>
        </is>
      </c>
      <c r="B5" s="4" t="inlineStr">
        <is>
          <t>SZKOŁA PODSTAWOWA NR 6</t>
        </is>
      </c>
      <c r="C5" s="3" t="inlineStr">
        <is>
          <t>Miejskie</t>
        </is>
      </c>
      <c r="D5" s="5">
        <v>13</v>
      </c>
      <c r="E5" s="5">
        <v>11</v>
      </c>
      <c r="F5" s="5">
        <v>16</v>
      </c>
      <c r="G5" s="5">
        <v>14</v>
      </c>
      <c r="H5" s="5">
        <v>14</v>
      </c>
      <c r="I5" s="5">
        <v>16</v>
      </c>
      <c r="J5" s="5">
        <v>17</v>
      </c>
      <c r="K5" s="5">
        <v>23</v>
      </c>
      <c r="L5" s="5">
        <v>18</v>
      </c>
      <c r="M5" s="5">
        <v>15</v>
      </c>
      <c r="N5" s="5">
        <v>17</v>
      </c>
      <c r="O5" s="5">
        <v>18</v>
      </c>
      <c r="P5" s="5">
        <v>20</v>
      </c>
      <c r="Q5" s="5">
        <v>16</v>
      </c>
      <c r="R5" s="5">
        <v>17</v>
      </c>
      <c r="S5" s="5">
        <v>17</v>
      </c>
      <c r="T5" s="5">
        <v>19</v>
      </c>
      <c r="U5" s="5">
        <v>19</v>
      </c>
      <c r="V5" s="5">
        <v>16</v>
      </c>
      <c r="W5" s="5">
        <v>16</v>
      </c>
      <c r="X5" s="5">
        <v>16</v>
      </c>
      <c r="Y5" s="5">
        <v>9</v>
      </c>
      <c r="Z5" s="5">
        <v>8</v>
      </c>
      <c r="AA5" s="5">
        <v>11</v>
      </c>
      <c r="AB5" s="5">
        <v>11</v>
      </c>
      <c r="AC5" s="5">
        <v>9</v>
      </c>
      <c r="AD5" s="6">
        <f>SUM(D5:AC5)</f>
        <v>396</v>
      </c>
      <c r="AE5" s="7">
        <f>AVERAGE(D5:AC5)</f>
        <v>15.2</v>
      </c>
      <c r="AF5" s="5">
        <f>MIN(D5:AC5)</f>
        <v>8</v>
      </c>
      <c r="AG5" s="5">
        <f>MAX(D5:AC5)</f>
        <v>23</v>
      </c>
      <c r="AH5" s="8">
        <f>AD5/$AD$19</f>
        <v>0.0202</v>
      </c>
    </row>
    <row r="6" ht="20" customHeight="1">
      <c r="A6" s="3" t="inlineStr">
        <is>
          <t>OBWÓD 7</t>
        </is>
      </c>
      <c r="B6" s="4" t="inlineStr">
        <is>
          <t>SZKOŁA PODSTAWOWA NR 7</t>
        </is>
      </c>
      <c r="C6" s="3" t="inlineStr">
        <is>
          <t>Miejskie</t>
        </is>
      </c>
      <c r="D6" s="5">
        <v>44</v>
      </c>
      <c r="E6" s="5">
        <v>40</v>
      </c>
      <c r="F6" s="5">
        <v>45</v>
      </c>
      <c r="G6" s="5">
        <v>47</v>
      </c>
      <c r="H6" s="5">
        <v>60</v>
      </c>
      <c r="I6" s="5">
        <v>46</v>
      </c>
      <c r="J6" s="5">
        <v>40</v>
      </c>
      <c r="K6" s="5">
        <v>54</v>
      </c>
      <c r="L6" s="5">
        <v>52</v>
      </c>
      <c r="M6" s="5">
        <v>66</v>
      </c>
      <c r="N6" s="5">
        <v>50</v>
      </c>
      <c r="O6" s="5">
        <v>36</v>
      </c>
      <c r="P6" s="5">
        <v>43</v>
      </c>
      <c r="Q6" s="5">
        <v>39</v>
      </c>
      <c r="R6" s="5">
        <v>38</v>
      </c>
      <c r="S6" s="5">
        <v>36</v>
      </c>
      <c r="T6" s="5">
        <v>37</v>
      </c>
      <c r="U6" s="5">
        <v>33</v>
      </c>
      <c r="V6" s="5">
        <v>35</v>
      </c>
      <c r="W6" s="5">
        <v>42</v>
      </c>
      <c r="X6" s="5">
        <v>37</v>
      </c>
      <c r="Y6" s="5">
        <v>21</v>
      </c>
      <c r="Z6" s="5">
        <v>27</v>
      </c>
      <c r="AA6" s="5">
        <v>17</v>
      </c>
      <c r="AB6" s="5">
        <v>23</v>
      </c>
      <c r="AC6" s="5">
        <v>22</v>
      </c>
      <c r="AD6" s="6">
        <f>SUM(D6:AC6)</f>
        <v>1030</v>
      </c>
      <c r="AE6" s="7">
        <f>AVERAGE(D6:AC6)</f>
        <v>39.6</v>
      </c>
      <c r="AF6" s="5">
        <f>MIN(D6:AC6)</f>
        <v>17</v>
      </c>
      <c r="AG6" s="5">
        <f>MAX(D6:AC6)</f>
        <v>66</v>
      </c>
      <c r="AH6" s="8">
        <f>AD6/$AD$19</f>
        <v>0.0525</v>
      </c>
    </row>
    <row r="7" ht="20" customHeight="1">
      <c r="A7" s="3" t="inlineStr">
        <is>
          <t>OBWÓD 8</t>
        </is>
      </c>
      <c r="B7" s="4" t="inlineStr">
        <is>
          <t>SZKOŁA PODSTAWOWA NR 8</t>
        </is>
      </c>
      <c r="C7" s="3" t="inlineStr">
        <is>
          <t>Miejskie</t>
        </is>
      </c>
      <c r="D7" s="5">
        <v>48</v>
      </c>
      <c r="E7" s="5">
        <v>42</v>
      </c>
      <c r="F7" s="5">
        <v>46</v>
      </c>
      <c r="G7" s="5">
        <v>42</v>
      </c>
      <c r="H7" s="5">
        <v>71</v>
      </c>
      <c r="I7" s="5">
        <v>65</v>
      </c>
      <c r="J7" s="5">
        <v>69</v>
      </c>
      <c r="K7" s="5">
        <v>65</v>
      </c>
      <c r="L7" s="5">
        <v>77</v>
      </c>
      <c r="M7" s="5">
        <v>70</v>
      </c>
      <c r="N7" s="5">
        <v>75</v>
      </c>
      <c r="O7" s="5">
        <v>51</v>
      </c>
      <c r="P7" s="5">
        <v>64</v>
      </c>
      <c r="Q7" s="5">
        <v>59</v>
      </c>
      <c r="R7" s="5">
        <v>51</v>
      </c>
      <c r="S7" s="5">
        <v>73</v>
      </c>
      <c r="T7" s="5">
        <v>51</v>
      </c>
      <c r="U7" s="5">
        <v>70</v>
      </c>
      <c r="V7" s="5">
        <v>44</v>
      </c>
      <c r="W7" s="5">
        <v>40</v>
      </c>
      <c r="X7" s="5">
        <v>49</v>
      </c>
      <c r="Y7" s="5">
        <v>35</v>
      </c>
      <c r="Z7" s="5">
        <v>38</v>
      </c>
      <c r="AA7" s="5">
        <v>31</v>
      </c>
      <c r="AB7" s="5">
        <v>27</v>
      </c>
      <c r="AC7" s="5">
        <v>26</v>
      </c>
      <c r="AD7" s="6">
        <f>SUM(D7:AC7)</f>
        <v>1379</v>
      </c>
      <c r="AE7" s="7">
        <f>AVERAGE(D7:AC7)</f>
        <v>53</v>
      </c>
      <c r="AF7" s="5">
        <f>MIN(D7:AC7)</f>
        <v>26</v>
      </c>
      <c r="AG7" s="5">
        <f>MAX(D7:AC7)</f>
        <v>77</v>
      </c>
      <c r="AH7" s="8">
        <f>AD7/$AD$19</f>
        <v>0.0703</v>
      </c>
    </row>
    <row r="8" ht="20" customHeight="1">
      <c r="A8" s="3" t="inlineStr">
        <is>
          <t>OBWÓD 9</t>
        </is>
      </c>
      <c r="B8" s="4" t="inlineStr">
        <is>
          <t>SZKOŁA PODSTAWOWA NR 9</t>
        </is>
      </c>
      <c r="C8" s="3" t="inlineStr">
        <is>
          <t>Miejskie</t>
        </is>
      </c>
      <c r="D8" s="5">
        <v>58</v>
      </c>
      <c r="E8" s="5">
        <v>46</v>
      </c>
      <c r="F8" s="5">
        <v>56</v>
      </c>
      <c r="G8" s="5">
        <v>53</v>
      </c>
      <c r="H8" s="5">
        <v>67</v>
      </c>
      <c r="I8" s="5">
        <v>52</v>
      </c>
      <c r="J8" s="5">
        <v>82</v>
      </c>
      <c r="K8" s="5">
        <v>80</v>
      </c>
      <c r="L8" s="5">
        <v>76</v>
      </c>
      <c r="M8" s="5">
        <v>80</v>
      </c>
      <c r="N8" s="5">
        <v>73</v>
      </c>
      <c r="O8" s="5">
        <v>75</v>
      </c>
      <c r="P8" s="5">
        <v>56</v>
      </c>
      <c r="Q8" s="5">
        <v>63</v>
      </c>
      <c r="R8" s="5">
        <v>62</v>
      </c>
      <c r="S8" s="5">
        <v>70</v>
      </c>
      <c r="T8" s="5">
        <v>84</v>
      </c>
      <c r="U8" s="5">
        <v>69</v>
      </c>
      <c r="V8" s="5">
        <v>56</v>
      </c>
      <c r="W8" s="5">
        <v>68</v>
      </c>
      <c r="X8" s="5">
        <v>74</v>
      </c>
      <c r="Y8" s="5">
        <v>45</v>
      </c>
      <c r="Z8" s="5">
        <v>48</v>
      </c>
      <c r="AA8" s="5">
        <v>51</v>
      </c>
      <c r="AB8" s="5">
        <v>27</v>
      </c>
      <c r="AC8" s="5">
        <v>26</v>
      </c>
      <c r="AD8" s="6">
        <f>SUM(D8:AC8)</f>
        <v>1597</v>
      </c>
      <c r="AE8" s="7">
        <f>AVERAGE(D8:AC8)</f>
        <v>61.4</v>
      </c>
      <c r="AF8" s="5">
        <f>MIN(D8:AC8)</f>
        <v>26</v>
      </c>
      <c r="AG8" s="5">
        <f>MAX(D8:AC8)</f>
        <v>84</v>
      </c>
      <c r="AH8" s="8">
        <f>AD8/$AD$19</f>
        <v>0.0815</v>
      </c>
    </row>
    <row r="9" ht="20" customHeight="1">
      <c r="A9" s="3" t="inlineStr">
        <is>
          <t>OBWÓD 11</t>
        </is>
      </c>
      <c r="B9" s="4" t="inlineStr">
        <is>
          <t>SZKOŁA PODSTAWOWA NR 11</t>
        </is>
      </c>
      <c r="C9" s="3" t="inlineStr">
        <is>
          <t>Miejskie</t>
        </is>
      </c>
      <c r="D9" s="5">
        <v>23</v>
      </c>
      <c r="E9" s="5">
        <v>11</v>
      </c>
      <c r="F9" s="5">
        <v>14</v>
      </c>
      <c r="G9" s="5">
        <v>17</v>
      </c>
      <c r="H9" s="5">
        <v>18</v>
      </c>
      <c r="I9" s="5">
        <v>14</v>
      </c>
      <c r="J9" s="5">
        <v>14</v>
      </c>
      <c r="K9" s="5">
        <v>23</v>
      </c>
      <c r="L9" s="5">
        <v>24</v>
      </c>
      <c r="M9" s="5">
        <v>23</v>
      </c>
      <c r="N9" s="5">
        <v>19</v>
      </c>
      <c r="O9" s="5">
        <v>23</v>
      </c>
      <c r="P9" s="5">
        <v>17</v>
      </c>
      <c r="Q9" s="5">
        <v>17</v>
      </c>
      <c r="R9" s="5">
        <v>22</v>
      </c>
      <c r="S9" s="5">
        <v>24</v>
      </c>
      <c r="T9" s="5">
        <v>19</v>
      </c>
      <c r="U9" s="5">
        <v>16</v>
      </c>
      <c r="V9" s="5">
        <v>13</v>
      </c>
      <c r="W9" s="5">
        <v>14</v>
      </c>
      <c r="X9" s="5">
        <v>17</v>
      </c>
      <c r="Y9" s="5">
        <v>14</v>
      </c>
      <c r="Z9" s="5">
        <v>13</v>
      </c>
      <c r="AA9" s="5">
        <v>9</v>
      </c>
      <c r="AB9" s="5">
        <v>12</v>
      </c>
      <c r="AC9" s="5">
        <v>8</v>
      </c>
      <c r="AD9" s="6">
        <f>SUM(D9:AC9)</f>
        <v>438</v>
      </c>
      <c r="AE9" s="7">
        <f>AVERAGE(D9:AC9)</f>
        <v>16.8</v>
      </c>
      <c r="AF9" s="5">
        <f>MIN(D9:AC9)</f>
        <v>8</v>
      </c>
      <c r="AG9" s="5">
        <f>MAX(D9:AC9)</f>
        <v>24</v>
      </c>
      <c r="AH9" s="8">
        <f>AD9/$AD$19</f>
        <v>0.0223</v>
      </c>
    </row>
    <row r="10" ht="20" customHeight="1">
      <c r="A10" s="3" t="inlineStr">
        <is>
          <t>OBWÓD 14</t>
        </is>
      </c>
      <c r="B10" s="4" t="inlineStr">
        <is>
          <t>SZKOŁA PODSTAWOWA NR 14</t>
        </is>
      </c>
      <c r="C10" s="3" t="inlineStr">
        <is>
          <t>Miejskie</t>
        </is>
      </c>
      <c r="D10" s="5">
        <v>20</v>
      </c>
      <c r="E10" s="5">
        <v>12</v>
      </c>
      <c r="F10" s="5">
        <v>19</v>
      </c>
      <c r="G10" s="5">
        <v>15</v>
      </c>
      <c r="H10" s="5">
        <v>16</v>
      </c>
      <c r="I10" s="5">
        <v>18</v>
      </c>
      <c r="J10" s="5">
        <v>18</v>
      </c>
      <c r="K10" s="5">
        <v>29</v>
      </c>
      <c r="L10" s="5">
        <v>10</v>
      </c>
      <c r="M10" s="5">
        <v>16</v>
      </c>
      <c r="N10" s="5">
        <v>12</v>
      </c>
      <c r="O10" s="5">
        <v>28</v>
      </c>
      <c r="P10" s="5">
        <v>15</v>
      </c>
      <c r="Q10" s="5">
        <v>11</v>
      </c>
      <c r="R10" s="5">
        <v>18</v>
      </c>
      <c r="S10" s="5">
        <v>14</v>
      </c>
      <c r="T10" s="5">
        <v>20</v>
      </c>
      <c r="U10" s="5">
        <v>13</v>
      </c>
      <c r="V10" s="5">
        <v>14</v>
      </c>
      <c r="W10" s="5">
        <v>17</v>
      </c>
      <c r="X10" s="5">
        <v>16</v>
      </c>
      <c r="Y10" s="5">
        <v>8</v>
      </c>
      <c r="Z10" s="5">
        <v>13</v>
      </c>
      <c r="AA10" s="5">
        <v>14</v>
      </c>
      <c r="AB10" s="5">
        <v>8</v>
      </c>
      <c r="AC10" s="5">
        <v>6</v>
      </c>
      <c r="AD10" s="6">
        <f>SUM(D10:AC10)</f>
        <v>400</v>
      </c>
      <c r="AE10" s="7">
        <f>AVERAGE(D10:AC10)</f>
        <v>15.4</v>
      </c>
      <c r="AF10" s="5">
        <f>MIN(D10:AC10)</f>
        <v>6</v>
      </c>
      <c r="AG10" s="5">
        <f>MAX(D10:AC10)</f>
        <v>29</v>
      </c>
      <c r="AH10" s="8">
        <f>AD10/$AD$19</f>
        <v>0.0204</v>
      </c>
    </row>
    <row r="11" ht="20" customHeight="1">
      <c r="A11" s="3" t="inlineStr">
        <is>
          <t>OBWÓD 15</t>
        </is>
      </c>
      <c r="B11" s="4" t="inlineStr">
        <is>
          <t>SZKOŁA PODSTAWOWA NR 15</t>
        </is>
      </c>
      <c r="C11" s="3" t="inlineStr">
        <is>
          <t>Miejskie</t>
        </is>
      </c>
      <c r="D11" s="5">
        <v>32</v>
      </c>
      <c r="E11" s="5">
        <v>37</v>
      </c>
      <c r="F11" s="5">
        <v>43</v>
      </c>
      <c r="G11" s="5">
        <v>52</v>
      </c>
      <c r="H11" s="5">
        <v>46</v>
      </c>
      <c r="I11" s="5">
        <v>44</v>
      </c>
      <c r="J11" s="5">
        <v>43</v>
      </c>
      <c r="K11" s="5">
        <v>58</v>
      </c>
      <c r="L11" s="5">
        <v>51</v>
      </c>
      <c r="M11" s="5">
        <v>60</v>
      </c>
      <c r="N11" s="5">
        <v>38</v>
      </c>
      <c r="O11" s="5">
        <v>62</v>
      </c>
      <c r="P11" s="5">
        <v>54</v>
      </c>
      <c r="Q11" s="5">
        <v>53</v>
      </c>
      <c r="R11" s="5">
        <v>55</v>
      </c>
      <c r="S11" s="5">
        <v>53</v>
      </c>
      <c r="T11" s="5">
        <v>51</v>
      </c>
      <c r="U11" s="5">
        <v>51</v>
      </c>
      <c r="V11" s="5">
        <v>45</v>
      </c>
      <c r="W11" s="5">
        <v>46</v>
      </c>
      <c r="X11" s="5">
        <v>40</v>
      </c>
      <c r="Y11" s="5">
        <v>33</v>
      </c>
      <c r="Z11" s="5">
        <v>37</v>
      </c>
      <c r="AA11" s="5">
        <v>37</v>
      </c>
      <c r="AB11" s="5">
        <v>37</v>
      </c>
      <c r="AC11" s="5">
        <v>17</v>
      </c>
      <c r="AD11" s="6">
        <f>SUM(D11:AC11)</f>
        <v>1175</v>
      </c>
      <c r="AE11" s="7">
        <f>AVERAGE(D11:AC11)</f>
        <v>45.2</v>
      </c>
      <c r="AF11" s="5">
        <f>MIN(D11:AC11)</f>
        <v>17</v>
      </c>
      <c r="AG11" s="5">
        <f>MAX(D11:AC11)</f>
        <v>62</v>
      </c>
      <c r="AH11" s="8">
        <f>AD11/$AD$19</f>
        <v>0.0599</v>
      </c>
    </row>
    <row r="12" ht="20" customHeight="1">
      <c r="A12" s="3" t="inlineStr">
        <is>
          <t>OBWÓD 16</t>
        </is>
      </c>
      <c r="B12" s="4" t="inlineStr">
        <is>
          <t>SZKOŁA PODSTAWOWA NR 16</t>
        </is>
      </c>
      <c r="C12" s="3" t="inlineStr">
        <is>
          <t>Miejskie</t>
        </is>
      </c>
      <c r="D12" s="5">
        <v>53</v>
      </c>
      <c r="E12" s="5">
        <v>58</v>
      </c>
      <c r="F12" s="5">
        <v>57</v>
      </c>
      <c r="G12" s="5">
        <v>53</v>
      </c>
      <c r="H12" s="5">
        <v>69</v>
      </c>
      <c r="I12" s="5">
        <v>58</v>
      </c>
      <c r="J12" s="5">
        <v>80</v>
      </c>
      <c r="K12" s="5">
        <v>75</v>
      </c>
      <c r="L12" s="5">
        <v>80</v>
      </c>
      <c r="M12" s="5">
        <v>81</v>
      </c>
      <c r="N12" s="5">
        <v>67</v>
      </c>
      <c r="O12" s="5">
        <v>77</v>
      </c>
      <c r="P12" s="5">
        <v>54</v>
      </c>
      <c r="Q12" s="5">
        <v>68</v>
      </c>
      <c r="R12" s="5">
        <v>63</v>
      </c>
      <c r="S12" s="5">
        <v>77</v>
      </c>
      <c r="T12" s="5">
        <v>78</v>
      </c>
      <c r="U12" s="5">
        <v>68</v>
      </c>
      <c r="V12" s="5">
        <v>53</v>
      </c>
      <c r="W12" s="5">
        <v>70</v>
      </c>
      <c r="X12" s="5">
        <v>58</v>
      </c>
      <c r="Y12" s="5">
        <v>47</v>
      </c>
      <c r="Z12" s="5">
        <v>53</v>
      </c>
      <c r="AA12" s="5">
        <v>34</v>
      </c>
      <c r="AB12" s="5">
        <v>30</v>
      </c>
      <c r="AC12" s="5">
        <v>37</v>
      </c>
      <c r="AD12" s="6">
        <f>SUM(D12:AC12)</f>
        <v>1598</v>
      </c>
      <c r="AE12" s="7">
        <f>AVERAGE(D12:AC12)</f>
        <v>61.5</v>
      </c>
      <c r="AF12" s="5">
        <f>MIN(D12:AC12)</f>
        <v>30</v>
      </c>
      <c r="AG12" s="5">
        <f>MAX(D12:AC12)</f>
        <v>81</v>
      </c>
      <c r="AH12" s="8">
        <f>AD12/$AD$19</f>
        <v>0.0815</v>
      </c>
    </row>
    <row r="13" ht="20" customHeight="1">
      <c r="A13" s="3" t="inlineStr">
        <is>
          <t>OBWÓD 17</t>
        </is>
      </c>
      <c r="B13" s="4" t="inlineStr">
        <is>
          <t>SZKOŁA PODSTAWOWA NR 17</t>
        </is>
      </c>
      <c r="C13" s="3" t="inlineStr">
        <is>
          <t>Miejskie</t>
        </is>
      </c>
      <c r="D13" s="5">
        <v>36</v>
      </c>
      <c r="E13" s="5">
        <v>37</v>
      </c>
      <c r="F13" s="5">
        <v>44</v>
      </c>
      <c r="G13" s="5">
        <v>43</v>
      </c>
      <c r="H13" s="5">
        <v>48</v>
      </c>
      <c r="I13" s="5">
        <v>38</v>
      </c>
      <c r="J13" s="5">
        <v>40</v>
      </c>
      <c r="K13" s="5">
        <v>41</v>
      </c>
      <c r="L13" s="5">
        <v>40</v>
      </c>
      <c r="M13" s="5">
        <v>52</v>
      </c>
      <c r="N13" s="5">
        <v>39</v>
      </c>
      <c r="O13" s="5">
        <v>43</v>
      </c>
      <c r="P13" s="5">
        <v>51</v>
      </c>
      <c r="Q13" s="5">
        <v>50</v>
      </c>
      <c r="R13" s="5">
        <v>41</v>
      </c>
      <c r="S13" s="5">
        <v>45</v>
      </c>
      <c r="T13" s="5">
        <v>54</v>
      </c>
      <c r="U13" s="5">
        <v>45</v>
      </c>
      <c r="V13" s="5">
        <v>49</v>
      </c>
      <c r="W13" s="5">
        <v>50</v>
      </c>
      <c r="X13" s="5">
        <v>46</v>
      </c>
      <c r="Y13" s="5">
        <v>25</v>
      </c>
      <c r="Z13" s="5">
        <v>38</v>
      </c>
      <c r="AA13" s="5">
        <v>39</v>
      </c>
      <c r="AB13" s="5">
        <v>26</v>
      </c>
      <c r="AC13" s="5">
        <v>27</v>
      </c>
      <c r="AD13" s="6">
        <f>SUM(D13:AC13)</f>
        <v>1087</v>
      </c>
      <c r="AE13" s="7">
        <f>AVERAGE(D13:AC13)</f>
        <v>41.8</v>
      </c>
      <c r="AF13" s="5">
        <f>MIN(D13:AC13)</f>
        <v>25</v>
      </c>
      <c r="AG13" s="5">
        <f>MAX(D13:AC13)</f>
        <v>54</v>
      </c>
      <c r="AH13" s="8">
        <f>AD13/$AD$19</f>
        <v>0.0554</v>
      </c>
    </row>
    <row r="14" ht="20" customHeight="1">
      <c r="A14" s="3" t="inlineStr">
        <is>
          <t>OBWÓD 18</t>
        </is>
      </c>
      <c r="B14" s="4" t="inlineStr">
        <is>
          <t>SZKOŁA PODSTAWOWA NR 18</t>
        </is>
      </c>
      <c r="C14" s="3" t="inlineStr">
        <is>
          <t>Miejskie</t>
        </is>
      </c>
      <c r="D14" s="5">
        <v>65</v>
      </c>
      <c r="E14" s="5">
        <v>63</v>
      </c>
      <c r="F14" s="5">
        <v>76</v>
      </c>
      <c r="G14" s="5">
        <v>57</v>
      </c>
      <c r="H14" s="5">
        <v>80</v>
      </c>
      <c r="I14" s="5">
        <v>81</v>
      </c>
      <c r="J14" s="5">
        <v>64</v>
      </c>
      <c r="K14" s="5">
        <v>89</v>
      </c>
      <c r="L14" s="5">
        <v>96</v>
      </c>
      <c r="M14" s="5">
        <v>91</v>
      </c>
      <c r="N14" s="5">
        <v>85</v>
      </c>
      <c r="O14" s="5">
        <v>83</v>
      </c>
      <c r="P14" s="5">
        <v>79</v>
      </c>
      <c r="Q14" s="5">
        <v>80</v>
      </c>
      <c r="R14" s="5">
        <v>50</v>
      </c>
      <c r="S14" s="5">
        <v>68</v>
      </c>
      <c r="T14" s="5">
        <v>72</v>
      </c>
      <c r="U14" s="5">
        <v>69</v>
      </c>
      <c r="V14" s="5">
        <v>55</v>
      </c>
      <c r="W14" s="5">
        <v>62</v>
      </c>
      <c r="X14" s="5">
        <v>55</v>
      </c>
      <c r="Y14" s="5">
        <v>46</v>
      </c>
      <c r="Z14" s="5">
        <v>46</v>
      </c>
      <c r="AA14" s="5">
        <v>31</v>
      </c>
      <c r="AB14" s="5">
        <v>37</v>
      </c>
      <c r="AC14" s="5">
        <v>23</v>
      </c>
      <c r="AD14" s="6">
        <f>SUM(D14:AC14)</f>
        <v>1703</v>
      </c>
      <c r="AE14" s="7">
        <f>AVERAGE(D14:AC14)</f>
        <v>65.5</v>
      </c>
      <c r="AF14" s="5">
        <f>MIN(D14:AC14)</f>
        <v>23</v>
      </c>
      <c r="AG14" s="5">
        <f>MAX(D14:AC14)</f>
        <v>96</v>
      </c>
      <c r="AH14" s="8">
        <f>AD14/$AD$19</f>
        <v>0.0869</v>
      </c>
    </row>
    <row r="15" ht="20" customHeight="1">
      <c r="A15" s="3" t="inlineStr">
        <is>
          <t>OBWÓD 20</t>
        </is>
      </c>
      <c r="B15" s="4" t="inlineStr">
        <is>
          <t>SZKOŁA PODSTAWOWA NR 20</t>
        </is>
      </c>
      <c r="C15" s="3" t="inlineStr">
        <is>
          <t>Miejskie</t>
        </is>
      </c>
      <c r="D15" s="5">
        <v>44</v>
      </c>
      <c r="E15" s="5">
        <v>63</v>
      </c>
      <c r="F15" s="5">
        <v>45</v>
      </c>
      <c r="G15" s="5">
        <v>41</v>
      </c>
      <c r="H15" s="5">
        <v>48</v>
      </c>
      <c r="I15" s="5">
        <v>68</v>
      </c>
      <c r="J15" s="5">
        <v>44</v>
      </c>
      <c r="K15" s="5">
        <v>67</v>
      </c>
      <c r="L15" s="5">
        <v>61</v>
      </c>
      <c r="M15" s="5">
        <v>55</v>
      </c>
      <c r="N15" s="5">
        <v>54</v>
      </c>
      <c r="O15" s="5">
        <v>51</v>
      </c>
      <c r="P15" s="5">
        <v>52</v>
      </c>
      <c r="Q15" s="5">
        <v>55</v>
      </c>
      <c r="R15" s="5">
        <v>50</v>
      </c>
      <c r="S15" s="5">
        <v>61</v>
      </c>
      <c r="T15" s="5">
        <v>68</v>
      </c>
      <c r="U15" s="5">
        <v>66</v>
      </c>
      <c r="V15" s="5">
        <v>51</v>
      </c>
      <c r="W15" s="5">
        <v>44</v>
      </c>
      <c r="X15" s="5">
        <v>44</v>
      </c>
      <c r="Y15" s="5">
        <v>29</v>
      </c>
      <c r="Z15" s="5">
        <v>30</v>
      </c>
      <c r="AA15" s="5">
        <v>36</v>
      </c>
      <c r="AB15" s="5">
        <v>26</v>
      </c>
      <c r="AC15" s="5">
        <v>23</v>
      </c>
      <c r="AD15" s="6">
        <f>SUM(D15:AC15)</f>
        <v>1276</v>
      </c>
      <c r="AE15" s="7">
        <f>AVERAGE(D15:AC15)</f>
        <v>49.1</v>
      </c>
      <c r="AF15" s="5">
        <f>MIN(D15:AC15)</f>
        <v>23</v>
      </c>
      <c r="AG15" s="5">
        <f>MAX(D15:AC15)</f>
        <v>68</v>
      </c>
      <c r="AH15" s="8">
        <f>AD15/$AD$19</f>
        <v>0.0651</v>
      </c>
    </row>
    <row r="16" ht="20" customHeight="1">
      <c r="A16" s="3" t="inlineStr">
        <is>
          <t>OBWÓD 21</t>
        </is>
      </c>
      <c r="B16" s="4" t="inlineStr">
        <is>
          <t>SZKOŁA PODSTAWOWA NR 21</t>
        </is>
      </c>
      <c r="C16" s="3" t="inlineStr">
        <is>
          <t>Miejskie</t>
        </is>
      </c>
      <c r="D16" s="5">
        <v>71</v>
      </c>
      <c r="E16" s="5">
        <v>76</v>
      </c>
      <c r="F16" s="5">
        <v>86</v>
      </c>
      <c r="G16" s="5">
        <v>63</v>
      </c>
      <c r="H16" s="5">
        <v>90</v>
      </c>
      <c r="I16" s="5">
        <v>88</v>
      </c>
      <c r="J16" s="5">
        <v>110</v>
      </c>
      <c r="K16" s="5">
        <v>123</v>
      </c>
      <c r="L16" s="5">
        <v>115</v>
      </c>
      <c r="M16" s="5">
        <v>122</v>
      </c>
      <c r="N16" s="5">
        <v>119</v>
      </c>
      <c r="O16" s="5">
        <v>110</v>
      </c>
      <c r="P16" s="5">
        <v>112</v>
      </c>
      <c r="Q16" s="5">
        <v>87</v>
      </c>
      <c r="R16" s="5">
        <v>75</v>
      </c>
      <c r="S16" s="5">
        <v>112</v>
      </c>
      <c r="T16" s="5">
        <v>105</v>
      </c>
      <c r="U16" s="5">
        <v>112</v>
      </c>
      <c r="V16" s="5">
        <v>114</v>
      </c>
      <c r="W16" s="5">
        <v>84</v>
      </c>
      <c r="X16" s="5">
        <v>81</v>
      </c>
      <c r="Y16" s="5">
        <v>70</v>
      </c>
      <c r="Z16" s="5">
        <v>60</v>
      </c>
      <c r="AA16" s="5">
        <v>55</v>
      </c>
      <c r="AB16" s="5">
        <v>44</v>
      </c>
      <c r="AC16" s="5">
        <v>32</v>
      </c>
      <c r="AD16" s="6">
        <f>SUM(D16:AC16)</f>
        <v>2316</v>
      </c>
      <c r="AE16" s="7">
        <f>AVERAGE(D16:AC16)</f>
        <v>89.1</v>
      </c>
      <c r="AF16" s="5">
        <f>MIN(D16:AC16)</f>
        <v>32</v>
      </c>
      <c r="AG16" s="5">
        <f>MAX(D16:AC16)</f>
        <v>123</v>
      </c>
      <c r="AH16" s="8">
        <f>AD16/$AD$19</f>
        <v>0.1181</v>
      </c>
    </row>
    <row r="17" ht="20" customHeight="1">
      <c r="A17" s="3" t="inlineStr">
        <is>
          <t>OBWÓD 22</t>
        </is>
      </c>
      <c r="B17" s="4" t="inlineStr">
        <is>
          <t>SZKOŁA PODSTAWOWA W CHEŁMCU</t>
        </is>
      </c>
      <c r="C17" s="3" t="inlineStr">
        <is>
          <t>Podmiejskie</t>
        </is>
      </c>
      <c r="D17" s="5">
        <v>28</v>
      </c>
      <c r="E17" s="5">
        <v>25</v>
      </c>
      <c r="F17" s="5">
        <v>22</v>
      </c>
      <c r="G17" s="5">
        <v>21</v>
      </c>
      <c r="H17" s="5">
        <v>30</v>
      </c>
      <c r="I17" s="5">
        <v>22</v>
      </c>
      <c r="J17" s="5">
        <v>33</v>
      </c>
      <c r="K17" s="5">
        <v>28</v>
      </c>
      <c r="L17" s="5">
        <v>28</v>
      </c>
      <c r="M17" s="5">
        <v>42</v>
      </c>
      <c r="N17" s="5">
        <v>31</v>
      </c>
      <c r="O17" s="5">
        <v>25</v>
      </c>
      <c r="P17" s="5">
        <v>24</v>
      </c>
      <c r="Q17" s="5">
        <v>40</v>
      </c>
      <c r="R17" s="5">
        <v>25</v>
      </c>
      <c r="S17" s="5">
        <v>25</v>
      </c>
      <c r="T17" s="5">
        <v>27</v>
      </c>
      <c r="U17" s="5">
        <v>25</v>
      </c>
      <c r="V17" s="5">
        <v>33</v>
      </c>
      <c r="W17" s="5">
        <v>27</v>
      </c>
      <c r="X17" s="5">
        <v>33</v>
      </c>
      <c r="Y17" s="5">
        <v>18</v>
      </c>
      <c r="Z17" s="5">
        <v>14</v>
      </c>
      <c r="AA17" s="5">
        <v>18</v>
      </c>
      <c r="AB17" s="5">
        <v>15</v>
      </c>
      <c r="AC17" s="5">
        <v>14</v>
      </c>
      <c r="AD17" s="6">
        <f>SUM(D17:AC17)</f>
        <v>673</v>
      </c>
      <c r="AE17" s="7">
        <f>AVERAGE(D17:AC17)</f>
        <v>25.9</v>
      </c>
      <c r="AF17" s="5">
        <f>MIN(D17:AC17)</f>
        <v>14</v>
      </c>
      <c r="AG17" s="5">
        <f>MAX(D17:AC17)</f>
        <v>42</v>
      </c>
      <c r="AH17" s="8">
        <f>AD17/$AD$19</f>
        <v>0.0343</v>
      </c>
    </row>
    <row r="18" ht="20" customHeight="1">
      <c r="A18" s="3" t="inlineStr">
        <is>
          <t>OBWÓD 23</t>
        </is>
      </c>
      <c r="B18" s="4" t="inlineStr">
        <is>
          <t>SZKOŁA PODSTAWOWA W PIĄTKOWEJ</t>
        </is>
      </c>
      <c r="C18" s="3" t="inlineStr">
        <is>
          <t>Podmiejskie</t>
        </is>
      </c>
      <c r="D18" s="5">
        <v>20</v>
      </c>
      <c r="E18" s="5">
        <v>17</v>
      </c>
      <c r="F18" s="5">
        <v>20</v>
      </c>
      <c r="G18" s="5">
        <v>15</v>
      </c>
      <c r="H18" s="5">
        <v>14</v>
      </c>
      <c r="I18" s="5">
        <v>19</v>
      </c>
      <c r="J18" s="5">
        <v>23</v>
      </c>
      <c r="K18" s="5">
        <v>29</v>
      </c>
      <c r="L18" s="5">
        <v>20</v>
      </c>
      <c r="M18" s="5">
        <v>31</v>
      </c>
      <c r="N18" s="5">
        <v>20</v>
      </c>
      <c r="O18" s="5">
        <v>24</v>
      </c>
      <c r="P18" s="5">
        <v>16</v>
      </c>
      <c r="Q18" s="5">
        <v>19</v>
      </c>
      <c r="R18" s="5">
        <v>22</v>
      </c>
      <c r="S18" s="5">
        <v>18</v>
      </c>
      <c r="T18" s="5">
        <v>17</v>
      </c>
      <c r="U18" s="5">
        <v>18</v>
      </c>
      <c r="V18" s="5">
        <v>17</v>
      </c>
      <c r="W18" s="5">
        <v>23</v>
      </c>
      <c r="X18" s="5">
        <v>13</v>
      </c>
      <c r="Y18" s="5">
        <v>21</v>
      </c>
      <c r="Z18" s="5">
        <v>18</v>
      </c>
      <c r="AA18" s="5">
        <v>17</v>
      </c>
      <c r="AB18" s="5">
        <v>14</v>
      </c>
      <c r="AC18" s="5">
        <v>16</v>
      </c>
      <c r="AD18" s="6">
        <f>SUM(D18:AC18)</f>
        <v>501</v>
      </c>
      <c r="AE18" s="7">
        <f>AVERAGE(D18:AC18)</f>
        <v>19.3</v>
      </c>
      <c r="AF18" s="5">
        <f>MIN(D18:AC18)</f>
        <v>13</v>
      </c>
      <c r="AG18" s="5">
        <f>MAX(D18:AC18)</f>
        <v>31</v>
      </c>
      <c r="AH18" s="8">
        <f>AD18/$AD$19</f>
        <v>0.0256</v>
      </c>
    </row>
    <row r="19" ht="24" customHeight="1">
      <c r="A19" s="9" t="inlineStr">
        <is>
          <t>SUMA</t>
        </is>
      </c>
      <c r="B19" s="9" t="inlineStr">
        <is>
          <t>WSZYSTKIE OBWODY SZKOLNE (17 SZKÓŁ)</t>
        </is>
      </c>
      <c r="C19" s="9" t="inlineStr">
        <is>
          <t>Ogółem</t>
        </is>
      </c>
      <c r="D19" s="10">
        <f>SUM(D2:D18)</f>
        <v>715</v>
      </c>
      <c r="E19" s="10">
        <f>SUM(E2:E18)</f>
        <v>676</v>
      </c>
      <c r="F19" s="10">
        <f>SUM(F2:F18)</f>
        <v>735</v>
      </c>
      <c r="G19" s="10">
        <f>SUM(G2:G18)</f>
        <v>703</v>
      </c>
      <c r="H19" s="10">
        <f>SUM(H2:H18)</f>
        <v>841</v>
      </c>
      <c r="I19" s="10">
        <f>SUM(I2:I18)</f>
        <v>805</v>
      </c>
      <c r="J19" s="10">
        <f>SUM(J2:J18)</f>
        <v>860</v>
      </c>
      <c r="K19" s="10">
        <f>SUM(K2:K18)</f>
        <v>993</v>
      </c>
      <c r="L19" s="10">
        <f>SUM(L2:L18)</f>
        <v>990</v>
      </c>
      <c r="M19" s="10">
        <f>SUM(M2:M18)</f>
        <v>1036</v>
      </c>
      <c r="N19" s="10">
        <f>SUM(N2:N18)</f>
        <v>924</v>
      </c>
      <c r="O19" s="10">
        <f>SUM(O2:O18)</f>
        <v>873</v>
      </c>
      <c r="P19" s="10">
        <f>SUM(P2:P18)</f>
        <v>800</v>
      </c>
      <c r="Q19" s="10">
        <f>SUM(Q2:Q18)</f>
        <v>814</v>
      </c>
      <c r="R19" s="10">
        <f>SUM(R2:R18)</f>
        <v>758</v>
      </c>
      <c r="S19" s="10">
        <f>SUM(S2:S18)</f>
        <v>872</v>
      </c>
      <c r="T19" s="10">
        <f>SUM(T2:T18)</f>
        <v>867</v>
      </c>
      <c r="U19" s="10">
        <f>SUM(U2:U18)</f>
        <v>811</v>
      </c>
      <c r="V19" s="10">
        <f>SUM(V2:V18)</f>
        <v>758</v>
      </c>
      <c r="W19" s="10">
        <f>SUM(W2:W18)</f>
        <v>751</v>
      </c>
      <c r="X19" s="10">
        <f>SUM(X2:X18)</f>
        <v>697</v>
      </c>
      <c r="Y19" s="10">
        <f>SUM(Y2:Y18)</f>
        <v>541</v>
      </c>
      <c r="Z19" s="10">
        <f>SUM(Z2:Z18)</f>
        <v>542</v>
      </c>
      <c r="AA19" s="10">
        <f>SUM(AA2:AA18)</f>
        <v>471</v>
      </c>
      <c r="AB19" s="10">
        <f>SUM(AB2:AB18)</f>
        <v>416</v>
      </c>
      <c r="AC19" s="10">
        <f>SUM(AC2:AC18)</f>
        <v>355</v>
      </c>
      <c r="AD19" s="10">
        <f>SUM(AD2:AD18)</f>
        <v>19604</v>
      </c>
      <c r="AE19" s="11">
        <f>AVERAGE(D19:AC19)</f>
        <v>754</v>
      </c>
      <c r="AF19" s="10">
        <f>MIN(D19:AC19)</f>
        <v>355</v>
      </c>
      <c r="AG19" s="10">
        <f>MAX(D19:AC19)</f>
        <v>1036</v>
      </c>
      <c r="AH19" s="12">
        <f>SUM(AH2:AH18)</f>
        <v>1</v>
      </c>
    </row>
  </sheetData>
  <autoFilter ref="A1:AH18"/>
  <conditionalFormatting sqref="D2:AC18">
    <cfRule type="colorScale" priority="1">
      <colorScale>
        <cfvo type="min"/>
        <cfvo type="percentile" val="50"/>
        <cfvo type="max"/>
        <color rgb="FFF8FAFC"/>
        <color rgb="FF93C5FD"/>
        <color rgb="FF1D4ED8"/>
      </colorScale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  <selection pane="bottomRight" activeCell="B2" sqref="B2"/>
    </sheetView>
  </sheetViews>
  <sheetFormatPr defaultRowHeight="18"/>
  <cols>
    <col min="1" max="1" width="12" customWidth="1"/>
    <col min="2" max="18" width="18" customWidth="1"/>
    <col min="19" max="22" width="16" customWidth="1"/>
  </cols>
  <sheetData>
    <row r="1" ht="30" customHeight="1">
      <c r="A1" s="1" t="inlineStr">
        <is>
          <t>ROCZNIK</t>
        </is>
      </c>
      <c r="B1" s="1" t="inlineStr">
        <is>
          <t>SP nr 1 (OBWÓD 1)</t>
        </is>
      </c>
      <c r="C1" s="1" t="inlineStr">
        <is>
          <t>SP nr 2 (OBWÓD 2)</t>
        </is>
      </c>
      <c r="D1" s="1" t="inlineStr">
        <is>
          <t>SP nr 3 (OBWÓD 3)</t>
        </is>
      </c>
      <c r="E1" s="1" t="inlineStr">
        <is>
          <t>SP nr 6 (OBWÓD 6)</t>
        </is>
      </c>
      <c r="F1" s="1" t="inlineStr">
        <is>
          <t>SP nr 7 (OBWÓD 7)</t>
        </is>
      </c>
      <c r="G1" s="1" t="inlineStr">
        <is>
          <t>SP nr 8 (OBWÓD 8)</t>
        </is>
      </c>
      <c r="H1" s="1" t="inlineStr">
        <is>
          <t>SP nr 9 (OBWÓD 9)</t>
        </is>
      </c>
      <c r="I1" s="1" t="inlineStr">
        <is>
          <t>SP nr 11 (OBWÓD 11)</t>
        </is>
      </c>
      <c r="J1" s="1" t="inlineStr">
        <is>
          <t>SP nr 14 (OBWÓD 14)</t>
        </is>
      </c>
      <c r="K1" s="1" t="inlineStr">
        <is>
          <t>SP nr 15 (OBWÓD 15)</t>
        </is>
      </c>
      <c r="L1" s="1" t="inlineStr">
        <is>
          <t>SP nr 16 (OBWÓD 16)</t>
        </is>
      </c>
      <c r="M1" s="1" t="inlineStr">
        <is>
          <t>SP nr 17 (OBWÓD 17)</t>
        </is>
      </c>
      <c r="N1" s="1" t="inlineStr">
        <is>
          <t>SP nr 18 (OBWÓD 18)</t>
        </is>
      </c>
      <c r="O1" s="1" t="inlineStr">
        <is>
          <t>SP nr 20 (OBWÓD 20)</t>
        </is>
      </c>
      <c r="P1" s="1" t="inlineStr">
        <is>
          <t>SP nr 21 (OBWÓD 21)</t>
        </is>
      </c>
      <c r="Q1" s="1" t="inlineStr">
        <is>
          <t>SP w Chełmcu (OBWÓD 22)</t>
        </is>
      </c>
      <c r="R1" s="1" t="inlineStr">
        <is>
          <t>SP w Piątkowej (OBWÓD 23)</t>
        </is>
      </c>
      <c r="S1" s="2" t="inlineStr">
        <is>
          <t>SUMA ROCZNIKA</t>
        </is>
      </c>
      <c r="T1" s="2" t="inlineStr">
        <is>
          <t>ŚREDNIA NA SZKOŁĘ</t>
        </is>
      </c>
      <c r="U1" s="2" t="inlineStr">
        <is>
          <t>MIN</t>
        </is>
      </c>
      <c r="V1" s="2" t="inlineStr">
        <is>
          <t>MAX</t>
        </is>
      </c>
    </row>
    <row r="2" ht="20" customHeight="1">
      <c r="A2" s="3">
        <v>2001</v>
      </c>
      <c r="B2" s="5">
        <v>44</v>
      </c>
      <c r="C2" s="5">
        <v>42</v>
      </c>
      <c r="D2" s="5">
        <v>74</v>
      </c>
      <c r="E2" s="5">
        <v>13</v>
      </c>
      <c r="F2" s="5">
        <v>44</v>
      </c>
      <c r="G2" s="5">
        <v>48</v>
      </c>
      <c r="H2" s="5">
        <v>58</v>
      </c>
      <c r="I2" s="5">
        <v>23</v>
      </c>
      <c r="J2" s="5">
        <v>20</v>
      </c>
      <c r="K2" s="5">
        <v>32</v>
      </c>
      <c r="L2" s="5">
        <v>53</v>
      </c>
      <c r="M2" s="5">
        <v>36</v>
      </c>
      <c r="N2" s="5">
        <v>65</v>
      </c>
      <c r="O2" s="5">
        <v>44</v>
      </c>
      <c r="P2" s="5">
        <v>71</v>
      </c>
      <c r="Q2" s="5">
        <v>28</v>
      </c>
      <c r="R2" s="5">
        <v>20</v>
      </c>
      <c r="S2" s="6">
        <f>SUM(B2:R2)</f>
        <v>715</v>
      </c>
      <c r="T2" s="7">
        <f>AVERAGE(B2:R2)</f>
        <v>42.1</v>
      </c>
      <c r="U2" s="5">
        <f>MIN(B2:R2)</f>
        <v>13</v>
      </c>
      <c r="V2" s="5">
        <f>MAX(B2:R2)</f>
        <v>74</v>
      </c>
    </row>
    <row r="3" ht="20" customHeight="1">
      <c r="A3" s="3">
        <v>2002</v>
      </c>
      <c r="B3" s="5">
        <v>40</v>
      </c>
      <c r="C3" s="5">
        <v>26</v>
      </c>
      <c r="D3" s="5">
        <v>72</v>
      </c>
      <c r="E3" s="5">
        <v>11</v>
      </c>
      <c r="F3" s="5">
        <v>40</v>
      </c>
      <c r="G3" s="5">
        <v>42</v>
      </c>
      <c r="H3" s="5">
        <v>46</v>
      </c>
      <c r="I3" s="5">
        <v>11</v>
      </c>
      <c r="J3" s="5">
        <v>12</v>
      </c>
      <c r="K3" s="5">
        <v>37</v>
      </c>
      <c r="L3" s="5">
        <v>58</v>
      </c>
      <c r="M3" s="5">
        <v>37</v>
      </c>
      <c r="N3" s="5">
        <v>63</v>
      </c>
      <c r="O3" s="5">
        <v>63</v>
      </c>
      <c r="P3" s="5">
        <v>76</v>
      </c>
      <c r="Q3" s="5">
        <v>25</v>
      </c>
      <c r="R3" s="5">
        <v>17</v>
      </c>
      <c r="S3" s="6">
        <f>SUM(B3:R3)</f>
        <v>676</v>
      </c>
      <c r="T3" s="7">
        <f>AVERAGE(B3:R3)</f>
        <v>39.8</v>
      </c>
      <c r="U3" s="5">
        <f>MIN(B3:R3)</f>
        <v>11</v>
      </c>
      <c r="V3" s="5">
        <f>MAX(B3:R3)</f>
        <v>76</v>
      </c>
    </row>
    <row r="4" ht="20" customHeight="1">
      <c r="A4" s="3">
        <v>2003</v>
      </c>
      <c r="B4" s="5">
        <v>41</v>
      </c>
      <c r="C4" s="5">
        <v>33</v>
      </c>
      <c r="D4" s="5">
        <v>72</v>
      </c>
      <c r="E4" s="5">
        <v>16</v>
      </c>
      <c r="F4" s="5">
        <v>45</v>
      </c>
      <c r="G4" s="5">
        <v>46</v>
      </c>
      <c r="H4" s="5">
        <v>56</v>
      </c>
      <c r="I4" s="5">
        <v>14</v>
      </c>
      <c r="J4" s="5">
        <v>19</v>
      </c>
      <c r="K4" s="5">
        <v>43</v>
      </c>
      <c r="L4" s="5">
        <v>57</v>
      </c>
      <c r="M4" s="5">
        <v>44</v>
      </c>
      <c r="N4" s="5">
        <v>76</v>
      </c>
      <c r="O4" s="5">
        <v>45</v>
      </c>
      <c r="P4" s="5">
        <v>86</v>
      </c>
      <c r="Q4" s="5">
        <v>22</v>
      </c>
      <c r="R4" s="5">
        <v>20</v>
      </c>
      <c r="S4" s="6">
        <f>SUM(B4:R4)</f>
        <v>735</v>
      </c>
      <c r="T4" s="7">
        <f>AVERAGE(B4:R4)</f>
        <v>43.2</v>
      </c>
      <c r="U4" s="5">
        <f>MIN(B4:R4)</f>
        <v>14</v>
      </c>
      <c r="V4" s="5">
        <f>MAX(B4:R4)</f>
        <v>86</v>
      </c>
    </row>
    <row r="5" ht="20" customHeight="1">
      <c r="A5" s="3">
        <v>2004</v>
      </c>
      <c r="B5" s="5">
        <v>46</v>
      </c>
      <c r="C5" s="5">
        <v>45</v>
      </c>
      <c r="D5" s="5">
        <v>79</v>
      </c>
      <c r="E5" s="5">
        <v>14</v>
      </c>
      <c r="F5" s="5">
        <v>47</v>
      </c>
      <c r="G5" s="5">
        <v>42</v>
      </c>
      <c r="H5" s="5">
        <v>53</v>
      </c>
      <c r="I5" s="5">
        <v>17</v>
      </c>
      <c r="J5" s="5">
        <v>15</v>
      </c>
      <c r="K5" s="5">
        <v>52</v>
      </c>
      <c r="L5" s="5">
        <v>53</v>
      </c>
      <c r="M5" s="5">
        <v>43</v>
      </c>
      <c r="N5" s="5">
        <v>57</v>
      </c>
      <c r="O5" s="5">
        <v>41</v>
      </c>
      <c r="P5" s="5">
        <v>63</v>
      </c>
      <c r="Q5" s="5">
        <v>21</v>
      </c>
      <c r="R5" s="5">
        <v>15</v>
      </c>
      <c r="S5" s="6">
        <f>SUM(B5:R5)</f>
        <v>703</v>
      </c>
      <c r="T5" s="7">
        <f>AVERAGE(B5:R5)</f>
        <v>41.4</v>
      </c>
      <c r="U5" s="5">
        <f>MIN(B5:R5)</f>
        <v>14</v>
      </c>
      <c r="V5" s="5">
        <f>MAX(B5:R5)</f>
        <v>79</v>
      </c>
    </row>
    <row r="6" ht="20" customHeight="1">
      <c r="A6" s="3">
        <v>2005</v>
      </c>
      <c r="B6" s="5">
        <v>43</v>
      </c>
      <c r="C6" s="5">
        <v>47</v>
      </c>
      <c r="D6" s="5">
        <v>80</v>
      </c>
      <c r="E6" s="5">
        <v>14</v>
      </c>
      <c r="F6" s="5">
        <v>60</v>
      </c>
      <c r="G6" s="5">
        <v>71</v>
      </c>
      <c r="H6" s="5">
        <v>67</v>
      </c>
      <c r="I6" s="5">
        <v>18</v>
      </c>
      <c r="J6" s="5">
        <v>16</v>
      </c>
      <c r="K6" s="5">
        <v>46</v>
      </c>
      <c r="L6" s="5">
        <v>69</v>
      </c>
      <c r="M6" s="5">
        <v>48</v>
      </c>
      <c r="N6" s="5">
        <v>80</v>
      </c>
      <c r="O6" s="5">
        <v>48</v>
      </c>
      <c r="P6" s="5">
        <v>90</v>
      </c>
      <c r="Q6" s="5">
        <v>30</v>
      </c>
      <c r="R6" s="5">
        <v>14</v>
      </c>
      <c r="S6" s="6">
        <f>SUM(B6:R6)</f>
        <v>841</v>
      </c>
      <c r="T6" s="7">
        <f>AVERAGE(B6:R6)</f>
        <v>49.5</v>
      </c>
      <c r="U6" s="5">
        <f>MIN(B6:R6)</f>
        <v>14</v>
      </c>
      <c r="V6" s="5">
        <f>MAX(B6:R6)</f>
        <v>90</v>
      </c>
    </row>
    <row r="7" ht="20" customHeight="1">
      <c r="A7" s="3">
        <v>2006</v>
      </c>
      <c r="B7" s="5">
        <v>52</v>
      </c>
      <c r="C7" s="5">
        <v>49</v>
      </c>
      <c r="D7" s="5">
        <v>75</v>
      </c>
      <c r="E7" s="5">
        <v>16</v>
      </c>
      <c r="F7" s="5">
        <v>46</v>
      </c>
      <c r="G7" s="5">
        <v>65</v>
      </c>
      <c r="H7" s="5">
        <v>52</v>
      </c>
      <c r="I7" s="5">
        <v>14</v>
      </c>
      <c r="J7" s="5">
        <v>18</v>
      </c>
      <c r="K7" s="5">
        <v>44</v>
      </c>
      <c r="L7" s="5">
        <v>58</v>
      </c>
      <c r="M7" s="5">
        <v>38</v>
      </c>
      <c r="N7" s="5">
        <v>81</v>
      </c>
      <c r="O7" s="5">
        <v>68</v>
      </c>
      <c r="P7" s="5">
        <v>88</v>
      </c>
      <c r="Q7" s="5">
        <v>22</v>
      </c>
      <c r="R7" s="5">
        <v>19</v>
      </c>
      <c r="S7" s="6">
        <f>SUM(B7:R7)</f>
        <v>805</v>
      </c>
      <c r="T7" s="7">
        <f>AVERAGE(B7:R7)</f>
        <v>47.4</v>
      </c>
      <c r="U7" s="5">
        <f>MIN(B7:R7)</f>
        <v>14</v>
      </c>
      <c r="V7" s="5">
        <f>MAX(B7:R7)</f>
        <v>88</v>
      </c>
    </row>
    <row r="8" ht="20" customHeight="1">
      <c r="A8" s="3">
        <v>2007</v>
      </c>
      <c r="B8" s="5">
        <v>55</v>
      </c>
      <c r="C8" s="5">
        <v>46</v>
      </c>
      <c r="D8" s="5">
        <v>82</v>
      </c>
      <c r="E8" s="5">
        <v>17</v>
      </c>
      <c r="F8" s="5">
        <v>40</v>
      </c>
      <c r="G8" s="5">
        <v>69</v>
      </c>
      <c r="H8" s="5">
        <v>82</v>
      </c>
      <c r="I8" s="5">
        <v>14</v>
      </c>
      <c r="J8" s="5">
        <v>18</v>
      </c>
      <c r="K8" s="5">
        <v>43</v>
      </c>
      <c r="L8" s="5">
        <v>80</v>
      </c>
      <c r="M8" s="5">
        <v>40</v>
      </c>
      <c r="N8" s="5">
        <v>64</v>
      </c>
      <c r="O8" s="5">
        <v>44</v>
      </c>
      <c r="P8" s="5">
        <v>110</v>
      </c>
      <c r="Q8" s="5">
        <v>33</v>
      </c>
      <c r="R8" s="5">
        <v>23</v>
      </c>
      <c r="S8" s="6">
        <f>SUM(B8:R8)</f>
        <v>860</v>
      </c>
      <c r="T8" s="7">
        <f>AVERAGE(B8:R8)</f>
        <v>50.6</v>
      </c>
      <c r="U8" s="5">
        <f>MIN(B8:R8)</f>
        <v>14</v>
      </c>
      <c r="V8" s="5">
        <f>MAX(B8:R8)</f>
        <v>110</v>
      </c>
    </row>
    <row r="9" ht="20" customHeight="1">
      <c r="A9" s="3">
        <v>2008</v>
      </c>
      <c r="B9" s="5">
        <v>70</v>
      </c>
      <c r="C9" s="5">
        <v>54</v>
      </c>
      <c r="D9" s="5">
        <v>85</v>
      </c>
      <c r="E9" s="5">
        <v>23</v>
      </c>
      <c r="F9" s="5">
        <v>54</v>
      </c>
      <c r="G9" s="5">
        <v>65</v>
      </c>
      <c r="H9" s="5">
        <v>80</v>
      </c>
      <c r="I9" s="5">
        <v>23</v>
      </c>
      <c r="J9" s="5">
        <v>29</v>
      </c>
      <c r="K9" s="5">
        <v>58</v>
      </c>
      <c r="L9" s="5">
        <v>75</v>
      </c>
      <c r="M9" s="5">
        <v>41</v>
      </c>
      <c r="N9" s="5">
        <v>89</v>
      </c>
      <c r="O9" s="5">
        <v>67</v>
      </c>
      <c r="P9" s="5">
        <v>123</v>
      </c>
      <c r="Q9" s="5">
        <v>28</v>
      </c>
      <c r="R9" s="5">
        <v>29</v>
      </c>
      <c r="S9" s="6">
        <f>SUM(B9:R9)</f>
        <v>993</v>
      </c>
      <c r="T9" s="7">
        <f>AVERAGE(B9:R9)</f>
        <v>58.4</v>
      </c>
      <c r="U9" s="5">
        <f>MIN(B9:R9)</f>
        <v>23</v>
      </c>
      <c r="V9" s="5">
        <f>MAX(B9:R9)</f>
        <v>123</v>
      </c>
    </row>
    <row r="10" ht="20" customHeight="1">
      <c r="A10" s="3">
        <v>2009</v>
      </c>
      <c r="B10" s="5">
        <v>113</v>
      </c>
      <c r="C10" s="5">
        <v>44</v>
      </c>
      <c r="D10" s="5">
        <v>85</v>
      </c>
      <c r="E10" s="5">
        <v>18</v>
      </c>
      <c r="F10" s="5">
        <v>52</v>
      </c>
      <c r="G10" s="5">
        <v>77</v>
      </c>
      <c r="H10" s="5">
        <v>76</v>
      </c>
      <c r="I10" s="5">
        <v>24</v>
      </c>
      <c r="J10" s="5">
        <v>10</v>
      </c>
      <c r="K10" s="5">
        <v>51</v>
      </c>
      <c r="L10" s="5">
        <v>80</v>
      </c>
      <c r="M10" s="5">
        <v>40</v>
      </c>
      <c r="N10" s="5">
        <v>96</v>
      </c>
      <c r="O10" s="5">
        <v>61</v>
      </c>
      <c r="P10" s="5">
        <v>115</v>
      </c>
      <c r="Q10" s="5">
        <v>28</v>
      </c>
      <c r="R10" s="5">
        <v>20</v>
      </c>
      <c r="S10" s="6">
        <f>SUM(B10:R10)</f>
        <v>990</v>
      </c>
      <c r="T10" s="7">
        <f>AVERAGE(B10:R10)</f>
        <v>58.2</v>
      </c>
      <c r="U10" s="5">
        <f>MIN(B10:R10)</f>
        <v>10</v>
      </c>
      <c r="V10" s="5">
        <f>MAX(B10:R10)</f>
        <v>115</v>
      </c>
    </row>
    <row r="11" ht="20" customHeight="1">
      <c r="A11" s="3">
        <v>2010</v>
      </c>
      <c r="B11" s="5">
        <v>82</v>
      </c>
      <c r="C11" s="5">
        <v>38</v>
      </c>
      <c r="D11" s="5">
        <v>112</v>
      </c>
      <c r="E11" s="5">
        <v>15</v>
      </c>
      <c r="F11" s="5">
        <v>66</v>
      </c>
      <c r="G11" s="5">
        <v>70</v>
      </c>
      <c r="H11" s="5">
        <v>80</v>
      </c>
      <c r="I11" s="5">
        <v>23</v>
      </c>
      <c r="J11" s="5">
        <v>16</v>
      </c>
      <c r="K11" s="5">
        <v>60</v>
      </c>
      <c r="L11" s="5">
        <v>81</v>
      </c>
      <c r="M11" s="5">
        <v>52</v>
      </c>
      <c r="N11" s="5">
        <v>91</v>
      </c>
      <c r="O11" s="5">
        <v>55</v>
      </c>
      <c r="P11" s="5">
        <v>122</v>
      </c>
      <c r="Q11" s="5">
        <v>42</v>
      </c>
      <c r="R11" s="5">
        <v>31</v>
      </c>
      <c r="S11" s="6">
        <f>SUM(B11:R11)</f>
        <v>1036</v>
      </c>
      <c r="T11" s="7">
        <f>AVERAGE(B11:R11)</f>
        <v>60.9</v>
      </c>
      <c r="U11" s="5">
        <f>MIN(B11:R11)</f>
        <v>15</v>
      </c>
      <c r="V11" s="5">
        <f>MAX(B11:R11)</f>
        <v>122</v>
      </c>
    </row>
    <row r="12" ht="20" customHeight="1">
      <c r="A12" s="3">
        <v>2011</v>
      </c>
      <c r="B12" s="5">
        <v>94</v>
      </c>
      <c r="C12" s="5">
        <v>48</v>
      </c>
      <c r="D12" s="5">
        <v>83</v>
      </c>
      <c r="E12" s="5">
        <v>17</v>
      </c>
      <c r="F12" s="5">
        <v>50</v>
      </c>
      <c r="G12" s="5">
        <v>75</v>
      </c>
      <c r="H12" s="5">
        <v>73</v>
      </c>
      <c r="I12" s="5">
        <v>19</v>
      </c>
      <c r="J12" s="5">
        <v>12</v>
      </c>
      <c r="K12" s="5">
        <v>38</v>
      </c>
      <c r="L12" s="5">
        <v>67</v>
      </c>
      <c r="M12" s="5">
        <v>39</v>
      </c>
      <c r="N12" s="5">
        <v>85</v>
      </c>
      <c r="O12" s="5">
        <v>54</v>
      </c>
      <c r="P12" s="5">
        <v>119</v>
      </c>
      <c r="Q12" s="5">
        <v>31</v>
      </c>
      <c r="R12" s="5">
        <v>20</v>
      </c>
      <c r="S12" s="6">
        <f>SUM(B12:R12)</f>
        <v>924</v>
      </c>
      <c r="T12" s="7">
        <f>AVERAGE(B12:R12)</f>
        <v>54.4</v>
      </c>
      <c r="U12" s="5">
        <f>MIN(B12:R12)</f>
        <v>12</v>
      </c>
      <c r="V12" s="5">
        <f>MAX(B12:R12)</f>
        <v>119</v>
      </c>
    </row>
    <row r="13" ht="20" customHeight="1">
      <c r="A13" s="3">
        <v>2012</v>
      </c>
      <c r="B13" s="5">
        <v>46</v>
      </c>
      <c r="C13" s="5">
        <v>48</v>
      </c>
      <c r="D13" s="5">
        <v>73</v>
      </c>
      <c r="E13" s="5">
        <v>18</v>
      </c>
      <c r="F13" s="5">
        <v>36</v>
      </c>
      <c r="G13" s="5">
        <v>51</v>
      </c>
      <c r="H13" s="5">
        <v>75</v>
      </c>
      <c r="I13" s="5">
        <v>23</v>
      </c>
      <c r="J13" s="5">
        <v>28</v>
      </c>
      <c r="K13" s="5">
        <v>62</v>
      </c>
      <c r="L13" s="5">
        <v>77</v>
      </c>
      <c r="M13" s="5">
        <v>43</v>
      </c>
      <c r="N13" s="5">
        <v>83</v>
      </c>
      <c r="O13" s="5">
        <v>51</v>
      </c>
      <c r="P13" s="5">
        <v>110</v>
      </c>
      <c r="Q13" s="5">
        <v>25</v>
      </c>
      <c r="R13" s="5">
        <v>24</v>
      </c>
      <c r="S13" s="6">
        <f>SUM(B13:R13)</f>
        <v>873</v>
      </c>
      <c r="T13" s="7">
        <f>AVERAGE(B13:R13)</f>
        <v>51.4</v>
      </c>
      <c r="U13" s="5">
        <f>MIN(B13:R13)</f>
        <v>18</v>
      </c>
      <c r="V13" s="5">
        <f>MAX(B13:R13)</f>
        <v>110</v>
      </c>
    </row>
    <row r="14" ht="20" customHeight="1">
      <c r="A14" s="3">
        <v>2013</v>
      </c>
      <c r="B14" s="5">
        <v>41</v>
      </c>
      <c r="C14" s="5">
        <v>44</v>
      </c>
      <c r="D14" s="5">
        <v>58</v>
      </c>
      <c r="E14" s="5">
        <v>20</v>
      </c>
      <c r="F14" s="5">
        <v>43</v>
      </c>
      <c r="G14" s="5">
        <v>64</v>
      </c>
      <c r="H14" s="5">
        <v>56</v>
      </c>
      <c r="I14" s="5">
        <v>17</v>
      </c>
      <c r="J14" s="5">
        <v>15</v>
      </c>
      <c r="K14" s="5">
        <v>54</v>
      </c>
      <c r="L14" s="5">
        <v>54</v>
      </c>
      <c r="M14" s="5">
        <v>51</v>
      </c>
      <c r="N14" s="5">
        <v>79</v>
      </c>
      <c r="O14" s="5">
        <v>52</v>
      </c>
      <c r="P14" s="5">
        <v>112</v>
      </c>
      <c r="Q14" s="5">
        <v>24</v>
      </c>
      <c r="R14" s="5">
        <v>16</v>
      </c>
      <c r="S14" s="6">
        <f>SUM(B14:R14)</f>
        <v>800</v>
      </c>
      <c r="T14" s="7">
        <f>AVERAGE(B14:R14)</f>
        <v>47.1</v>
      </c>
      <c r="U14" s="5">
        <f>MIN(B14:R14)</f>
        <v>15</v>
      </c>
      <c r="V14" s="5">
        <f>MAX(B14:R14)</f>
        <v>112</v>
      </c>
    </row>
    <row r="15" ht="20" customHeight="1">
      <c r="A15" s="3">
        <v>2014</v>
      </c>
      <c r="B15" s="5">
        <v>46</v>
      </c>
      <c r="C15" s="5">
        <v>46</v>
      </c>
      <c r="D15" s="5">
        <v>65</v>
      </c>
      <c r="E15" s="5">
        <v>16</v>
      </c>
      <c r="F15" s="5">
        <v>39</v>
      </c>
      <c r="G15" s="5">
        <v>59</v>
      </c>
      <c r="H15" s="5">
        <v>63</v>
      </c>
      <c r="I15" s="5">
        <v>17</v>
      </c>
      <c r="J15" s="5">
        <v>11</v>
      </c>
      <c r="K15" s="5">
        <v>53</v>
      </c>
      <c r="L15" s="5">
        <v>68</v>
      </c>
      <c r="M15" s="5">
        <v>50</v>
      </c>
      <c r="N15" s="5">
        <v>80</v>
      </c>
      <c r="O15" s="5">
        <v>55</v>
      </c>
      <c r="P15" s="5">
        <v>87</v>
      </c>
      <c r="Q15" s="5">
        <v>40</v>
      </c>
      <c r="R15" s="5">
        <v>19</v>
      </c>
      <c r="S15" s="6">
        <f>SUM(B15:R15)</f>
        <v>814</v>
      </c>
      <c r="T15" s="7">
        <f>AVERAGE(B15:R15)</f>
        <v>47.9</v>
      </c>
      <c r="U15" s="5">
        <f>MIN(B15:R15)</f>
        <v>11</v>
      </c>
      <c r="V15" s="5">
        <f>MAX(B15:R15)</f>
        <v>87</v>
      </c>
    </row>
    <row r="16" ht="20" customHeight="1">
      <c r="A16" s="3">
        <v>2015</v>
      </c>
      <c r="B16" s="5">
        <v>37</v>
      </c>
      <c r="C16" s="5">
        <v>47</v>
      </c>
      <c r="D16" s="5">
        <v>85</v>
      </c>
      <c r="E16" s="5">
        <v>17</v>
      </c>
      <c r="F16" s="5">
        <v>38</v>
      </c>
      <c r="G16" s="5">
        <v>51</v>
      </c>
      <c r="H16" s="5">
        <v>62</v>
      </c>
      <c r="I16" s="5">
        <v>22</v>
      </c>
      <c r="J16" s="5">
        <v>18</v>
      </c>
      <c r="K16" s="5">
        <v>55</v>
      </c>
      <c r="L16" s="5">
        <v>63</v>
      </c>
      <c r="M16" s="5">
        <v>41</v>
      </c>
      <c r="N16" s="5">
        <v>50</v>
      </c>
      <c r="O16" s="5">
        <v>50</v>
      </c>
      <c r="P16" s="5">
        <v>75</v>
      </c>
      <c r="Q16" s="5">
        <v>25</v>
      </c>
      <c r="R16" s="5">
        <v>22</v>
      </c>
      <c r="S16" s="6">
        <f>SUM(B16:R16)</f>
        <v>758</v>
      </c>
      <c r="T16" s="7">
        <f>AVERAGE(B16:R16)</f>
        <v>44.6</v>
      </c>
      <c r="U16" s="5">
        <f>MIN(B16:R16)</f>
        <v>17</v>
      </c>
      <c r="V16" s="5">
        <f>MAX(B16:R16)</f>
        <v>85</v>
      </c>
    </row>
    <row r="17" ht="20" customHeight="1">
      <c r="A17" s="3">
        <v>2016</v>
      </c>
      <c r="B17" s="5">
        <v>52</v>
      </c>
      <c r="C17" s="5">
        <v>49</v>
      </c>
      <c r="D17" s="5">
        <v>78</v>
      </c>
      <c r="E17" s="5">
        <v>17</v>
      </c>
      <c r="F17" s="5">
        <v>36</v>
      </c>
      <c r="G17" s="5">
        <v>73</v>
      </c>
      <c r="H17" s="5">
        <v>70</v>
      </c>
      <c r="I17" s="5">
        <v>24</v>
      </c>
      <c r="J17" s="5">
        <v>14</v>
      </c>
      <c r="K17" s="5">
        <v>53</v>
      </c>
      <c r="L17" s="5">
        <v>77</v>
      </c>
      <c r="M17" s="5">
        <v>45</v>
      </c>
      <c r="N17" s="5">
        <v>68</v>
      </c>
      <c r="O17" s="5">
        <v>61</v>
      </c>
      <c r="P17" s="5">
        <v>112</v>
      </c>
      <c r="Q17" s="5">
        <v>25</v>
      </c>
      <c r="R17" s="5">
        <v>18</v>
      </c>
      <c r="S17" s="6">
        <f>SUM(B17:R17)</f>
        <v>872</v>
      </c>
      <c r="T17" s="7">
        <f>AVERAGE(B17:R17)</f>
        <v>51.3</v>
      </c>
      <c r="U17" s="5">
        <f>MIN(B17:R17)</f>
        <v>14</v>
      </c>
      <c r="V17" s="5">
        <f>MAX(B17:R17)</f>
        <v>112</v>
      </c>
    </row>
    <row r="18" ht="20" customHeight="1">
      <c r="A18" s="3">
        <v>2017</v>
      </c>
      <c r="B18" s="5">
        <v>34</v>
      </c>
      <c r="C18" s="5">
        <v>57</v>
      </c>
      <c r="D18" s="5">
        <v>74</v>
      </c>
      <c r="E18" s="5">
        <v>19</v>
      </c>
      <c r="F18" s="5">
        <v>37</v>
      </c>
      <c r="G18" s="5">
        <v>51</v>
      </c>
      <c r="H18" s="5">
        <v>84</v>
      </c>
      <c r="I18" s="5">
        <v>19</v>
      </c>
      <c r="J18" s="5">
        <v>20</v>
      </c>
      <c r="K18" s="5">
        <v>51</v>
      </c>
      <c r="L18" s="5">
        <v>78</v>
      </c>
      <c r="M18" s="5">
        <v>54</v>
      </c>
      <c r="N18" s="5">
        <v>72</v>
      </c>
      <c r="O18" s="5">
        <v>68</v>
      </c>
      <c r="P18" s="5">
        <v>105</v>
      </c>
      <c r="Q18" s="5">
        <v>27</v>
      </c>
      <c r="R18" s="5">
        <v>17</v>
      </c>
      <c r="S18" s="6">
        <f>SUM(B18:R18)</f>
        <v>867</v>
      </c>
      <c r="T18" s="7">
        <f>AVERAGE(B18:R18)</f>
        <v>51</v>
      </c>
      <c r="U18" s="5">
        <f>MIN(B18:R18)</f>
        <v>17</v>
      </c>
      <c r="V18" s="5">
        <f>MAX(B18:R18)</f>
        <v>105</v>
      </c>
    </row>
    <row r="19" ht="20" customHeight="1">
      <c r="A19" s="3">
        <v>2018</v>
      </c>
      <c r="B19" s="5">
        <v>34</v>
      </c>
      <c r="C19" s="5">
        <v>42</v>
      </c>
      <c r="D19" s="5">
        <v>61</v>
      </c>
      <c r="E19" s="5">
        <v>19</v>
      </c>
      <c r="F19" s="5">
        <v>33</v>
      </c>
      <c r="G19" s="5">
        <v>70</v>
      </c>
      <c r="H19" s="5">
        <v>69</v>
      </c>
      <c r="I19" s="5">
        <v>16</v>
      </c>
      <c r="J19" s="5">
        <v>13</v>
      </c>
      <c r="K19" s="5">
        <v>51</v>
      </c>
      <c r="L19" s="5">
        <v>68</v>
      </c>
      <c r="M19" s="5">
        <v>45</v>
      </c>
      <c r="N19" s="5">
        <v>69</v>
      </c>
      <c r="O19" s="5">
        <v>66</v>
      </c>
      <c r="P19" s="5">
        <v>112</v>
      </c>
      <c r="Q19" s="5">
        <v>25</v>
      </c>
      <c r="R19" s="5">
        <v>18</v>
      </c>
      <c r="S19" s="6">
        <f>SUM(B19:R19)</f>
        <v>811</v>
      </c>
      <c r="T19" s="7">
        <f>AVERAGE(B19:R19)</f>
        <v>47.7</v>
      </c>
      <c r="U19" s="5">
        <f>MIN(B19:R19)</f>
        <v>13</v>
      </c>
      <c r="V19" s="5">
        <f>MAX(B19:R19)</f>
        <v>112</v>
      </c>
    </row>
    <row r="20" ht="20" customHeight="1">
      <c r="A20" s="3">
        <v>2019</v>
      </c>
      <c r="B20" s="5">
        <v>42</v>
      </c>
      <c r="C20" s="5">
        <v>39</v>
      </c>
      <c r="D20" s="5">
        <v>82</v>
      </c>
      <c r="E20" s="5">
        <v>16</v>
      </c>
      <c r="F20" s="5">
        <v>35</v>
      </c>
      <c r="G20" s="5">
        <v>44</v>
      </c>
      <c r="H20" s="5">
        <v>56</v>
      </c>
      <c r="I20" s="5">
        <v>13</v>
      </c>
      <c r="J20" s="5">
        <v>14</v>
      </c>
      <c r="K20" s="5">
        <v>45</v>
      </c>
      <c r="L20" s="5">
        <v>53</v>
      </c>
      <c r="M20" s="5">
        <v>49</v>
      </c>
      <c r="N20" s="5">
        <v>55</v>
      </c>
      <c r="O20" s="5">
        <v>51</v>
      </c>
      <c r="P20" s="5">
        <v>114</v>
      </c>
      <c r="Q20" s="5">
        <v>33</v>
      </c>
      <c r="R20" s="5">
        <v>17</v>
      </c>
      <c r="S20" s="6">
        <f>SUM(B20:R20)</f>
        <v>758</v>
      </c>
      <c r="T20" s="7">
        <f>AVERAGE(B20:R20)</f>
        <v>44.6</v>
      </c>
      <c r="U20" s="5">
        <f>MIN(B20:R20)</f>
        <v>13</v>
      </c>
      <c r="V20" s="5">
        <f>MAX(B20:R20)</f>
        <v>114</v>
      </c>
    </row>
    <row r="21" ht="20" customHeight="1">
      <c r="A21" s="3">
        <v>2020</v>
      </c>
      <c r="B21" s="5">
        <v>40</v>
      </c>
      <c r="C21" s="5">
        <v>46</v>
      </c>
      <c r="D21" s="5">
        <v>62</v>
      </c>
      <c r="E21" s="5">
        <v>16</v>
      </c>
      <c r="F21" s="5">
        <v>42</v>
      </c>
      <c r="G21" s="5">
        <v>40</v>
      </c>
      <c r="H21" s="5">
        <v>68</v>
      </c>
      <c r="I21" s="5">
        <v>14</v>
      </c>
      <c r="J21" s="5">
        <v>17</v>
      </c>
      <c r="K21" s="5">
        <v>46</v>
      </c>
      <c r="L21" s="5">
        <v>70</v>
      </c>
      <c r="M21" s="5">
        <v>50</v>
      </c>
      <c r="N21" s="5">
        <v>62</v>
      </c>
      <c r="O21" s="5">
        <v>44</v>
      </c>
      <c r="P21" s="5">
        <v>84</v>
      </c>
      <c r="Q21" s="5">
        <v>27</v>
      </c>
      <c r="R21" s="5">
        <v>23</v>
      </c>
      <c r="S21" s="6">
        <f>SUM(B21:R21)</f>
        <v>751</v>
      </c>
      <c r="T21" s="7">
        <f>AVERAGE(B21:R21)</f>
        <v>44.2</v>
      </c>
      <c r="U21" s="5">
        <f>MIN(B21:R21)</f>
        <v>14</v>
      </c>
      <c r="V21" s="5">
        <f>MAX(B21:R21)</f>
        <v>84</v>
      </c>
    </row>
    <row r="22" ht="20" customHeight="1">
      <c r="A22" s="3">
        <v>2021</v>
      </c>
      <c r="B22" s="5">
        <v>38</v>
      </c>
      <c r="C22" s="5">
        <v>32</v>
      </c>
      <c r="D22" s="5">
        <v>48</v>
      </c>
      <c r="E22" s="5">
        <v>16</v>
      </c>
      <c r="F22" s="5">
        <v>37</v>
      </c>
      <c r="G22" s="5">
        <v>49</v>
      </c>
      <c r="H22" s="5">
        <v>74</v>
      </c>
      <c r="I22" s="5">
        <v>17</v>
      </c>
      <c r="J22" s="5">
        <v>16</v>
      </c>
      <c r="K22" s="5">
        <v>40</v>
      </c>
      <c r="L22" s="5">
        <v>58</v>
      </c>
      <c r="M22" s="5">
        <v>46</v>
      </c>
      <c r="N22" s="5">
        <v>55</v>
      </c>
      <c r="O22" s="5">
        <v>44</v>
      </c>
      <c r="P22" s="5">
        <v>81</v>
      </c>
      <c r="Q22" s="5">
        <v>33</v>
      </c>
      <c r="R22" s="5">
        <v>13</v>
      </c>
      <c r="S22" s="6">
        <f>SUM(B22:R22)</f>
        <v>697</v>
      </c>
      <c r="T22" s="7">
        <f>AVERAGE(B22:R22)</f>
        <v>41</v>
      </c>
      <c r="U22" s="5">
        <f>MIN(B22:R22)</f>
        <v>13</v>
      </c>
      <c r="V22" s="5">
        <f>MAX(B22:R22)</f>
        <v>81</v>
      </c>
    </row>
    <row r="23" ht="20" customHeight="1">
      <c r="A23" s="3">
        <v>2022</v>
      </c>
      <c r="B23" s="5">
        <v>39</v>
      </c>
      <c r="C23" s="5">
        <v>34</v>
      </c>
      <c r="D23" s="5">
        <v>47</v>
      </c>
      <c r="E23" s="5">
        <v>9</v>
      </c>
      <c r="F23" s="5">
        <v>21</v>
      </c>
      <c r="G23" s="5">
        <v>35</v>
      </c>
      <c r="H23" s="5">
        <v>45</v>
      </c>
      <c r="I23" s="5">
        <v>14</v>
      </c>
      <c r="J23" s="5">
        <v>8</v>
      </c>
      <c r="K23" s="5">
        <v>33</v>
      </c>
      <c r="L23" s="5">
        <v>47</v>
      </c>
      <c r="M23" s="5">
        <v>25</v>
      </c>
      <c r="N23" s="5">
        <v>46</v>
      </c>
      <c r="O23" s="5">
        <v>29</v>
      </c>
      <c r="P23" s="5">
        <v>70</v>
      </c>
      <c r="Q23" s="5">
        <v>18</v>
      </c>
      <c r="R23" s="5">
        <v>21</v>
      </c>
      <c r="S23" s="6">
        <f>SUM(B23:R23)</f>
        <v>541</v>
      </c>
      <c r="T23" s="7">
        <f>AVERAGE(B23:R23)</f>
        <v>31.8</v>
      </c>
      <c r="U23" s="5">
        <f>MIN(B23:R23)</f>
        <v>8</v>
      </c>
      <c r="V23" s="5">
        <f>MAX(B23:R23)</f>
        <v>70</v>
      </c>
    </row>
    <row r="24" ht="20" customHeight="1">
      <c r="A24" s="3">
        <v>2023</v>
      </c>
      <c r="B24" s="5">
        <v>23</v>
      </c>
      <c r="C24" s="5">
        <v>26</v>
      </c>
      <c r="D24" s="5">
        <v>50</v>
      </c>
      <c r="E24" s="5">
        <v>8</v>
      </c>
      <c r="F24" s="5">
        <v>27</v>
      </c>
      <c r="G24" s="5">
        <v>38</v>
      </c>
      <c r="H24" s="5">
        <v>48</v>
      </c>
      <c r="I24" s="5">
        <v>13</v>
      </c>
      <c r="J24" s="5">
        <v>13</v>
      </c>
      <c r="K24" s="5">
        <v>37</v>
      </c>
      <c r="L24" s="5">
        <v>53</v>
      </c>
      <c r="M24" s="5">
        <v>38</v>
      </c>
      <c r="N24" s="5">
        <v>46</v>
      </c>
      <c r="O24" s="5">
        <v>30</v>
      </c>
      <c r="P24" s="5">
        <v>60</v>
      </c>
      <c r="Q24" s="5">
        <v>14</v>
      </c>
      <c r="R24" s="5">
        <v>18</v>
      </c>
      <c r="S24" s="6">
        <f>SUM(B24:R24)</f>
        <v>542</v>
      </c>
      <c r="T24" s="7">
        <f>AVERAGE(B24:R24)</f>
        <v>31.9</v>
      </c>
      <c r="U24" s="5">
        <f>MIN(B24:R24)</f>
        <v>8</v>
      </c>
      <c r="V24" s="5">
        <f>MAX(B24:R24)</f>
        <v>60</v>
      </c>
    </row>
    <row r="25" ht="20" customHeight="1">
      <c r="A25" s="3">
        <v>2024</v>
      </c>
      <c r="B25" s="5">
        <v>19</v>
      </c>
      <c r="C25" s="5">
        <v>15</v>
      </c>
      <c r="D25" s="5">
        <v>37</v>
      </c>
      <c r="E25" s="5">
        <v>11</v>
      </c>
      <c r="F25" s="5">
        <v>17</v>
      </c>
      <c r="G25" s="5">
        <v>31</v>
      </c>
      <c r="H25" s="5">
        <v>51</v>
      </c>
      <c r="I25" s="5">
        <v>9</v>
      </c>
      <c r="J25" s="5">
        <v>14</v>
      </c>
      <c r="K25" s="5">
        <v>37</v>
      </c>
      <c r="L25" s="5">
        <v>34</v>
      </c>
      <c r="M25" s="5">
        <v>39</v>
      </c>
      <c r="N25" s="5">
        <v>31</v>
      </c>
      <c r="O25" s="5">
        <v>36</v>
      </c>
      <c r="P25" s="5">
        <v>55</v>
      </c>
      <c r="Q25" s="5">
        <v>18</v>
      </c>
      <c r="R25" s="5">
        <v>17</v>
      </c>
      <c r="S25" s="6">
        <f>SUM(B25:R25)</f>
        <v>471</v>
      </c>
      <c r="T25" s="7">
        <f>AVERAGE(B25:R25)</f>
        <v>27.7</v>
      </c>
      <c r="U25" s="5">
        <f>MIN(B25:R25)</f>
        <v>9</v>
      </c>
      <c r="V25" s="5">
        <f>MAX(B25:R25)</f>
        <v>55</v>
      </c>
    </row>
    <row r="26" ht="20" customHeight="1">
      <c r="A26" s="3">
        <v>2025</v>
      </c>
      <c r="B26" s="5">
        <v>18</v>
      </c>
      <c r="C26" s="5">
        <v>17</v>
      </c>
      <c r="D26" s="5">
        <v>44</v>
      </c>
      <c r="E26" s="5">
        <v>11</v>
      </c>
      <c r="F26" s="5">
        <v>23</v>
      </c>
      <c r="G26" s="5">
        <v>27</v>
      </c>
      <c r="H26" s="5">
        <v>27</v>
      </c>
      <c r="I26" s="5">
        <v>12</v>
      </c>
      <c r="J26" s="5">
        <v>8</v>
      </c>
      <c r="K26" s="5">
        <v>37</v>
      </c>
      <c r="L26" s="5">
        <v>30</v>
      </c>
      <c r="M26" s="5">
        <v>26</v>
      </c>
      <c r="N26" s="5">
        <v>37</v>
      </c>
      <c r="O26" s="5">
        <v>26</v>
      </c>
      <c r="P26" s="5">
        <v>44</v>
      </c>
      <c r="Q26" s="5">
        <v>15</v>
      </c>
      <c r="R26" s="5">
        <v>14</v>
      </c>
      <c r="S26" s="6">
        <f>SUM(B26:R26)</f>
        <v>416</v>
      </c>
      <c r="T26" s="7">
        <f>AVERAGE(B26:R26)</f>
        <v>24.5</v>
      </c>
      <c r="U26" s="5">
        <f>MIN(B26:R26)</f>
        <v>8</v>
      </c>
      <c r="V26" s="5">
        <f>MAX(B26:R26)</f>
        <v>44</v>
      </c>
    </row>
    <row r="27" ht="20" customHeight="1">
      <c r="A27" s="3">
        <v>2026</v>
      </c>
      <c r="B27" s="5">
        <v>28</v>
      </c>
      <c r="C27" s="5">
        <v>21</v>
      </c>
      <c r="D27" s="5">
        <v>20</v>
      </c>
      <c r="E27" s="5">
        <v>9</v>
      </c>
      <c r="F27" s="5">
        <v>22</v>
      </c>
      <c r="G27" s="5">
        <v>26</v>
      </c>
      <c r="H27" s="5">
        <v>26</v>
      </c>
      <c r="I27" s="5">
        <v>8</v>
      </c>
      <c r="J27" s="5">
        <v>6</v>
      </c>
      <c r="K27" s="5">
        <v>17</v>
      </c>
      <c r="L27" s="5">
        <v>37</v>
      </c>
      <c r="M27" s="5">
        <v>27</v>
      </c>
      <c r="N27" s="5">
        <v>23</v>
      </c>
      <c r="O27" s="5">
        <v>23</v>
      </c>
      <c r="P27" s="5">
        <v>32</v>
      </c>
      <c r="Q27" s="5">
        <v>14</v>
      </c>
      <c r="R27" s="5">
        <v>16</v>
      </c>
      <c r="S27" s="6">
        <f>SUM(B27:R27)</f>
        <v>355</v>
      </c>
      <c r="T27" s="7">
        <f>AVERAGE(B27:R27)</f>
        <v>20.9</v>
      </c>
      <c r="U27" s="5">
        <f>MIN(B27:R27)</f>
        <v>6</v>
      </c>
      <c r="V27" s="5">
        <f>MAX(B27:R27)</f>
        <v>37</v>
      </c>
    </row>
    <row r="28" ht="24" customHeight="1">
      <c r="A28" s="9" t="inlineStr">
        <is>
          <t>SUMA</t>
        </is>
      </c>
      <c r="B28" s="10">
        <f>SUM(B2:B27)</f>
        <v>1217</v>
      </c>
      <c r="C28" s="10">
        <f>SUM(C2:C27)</f>
        <v>1035</v>
      </c>
      <c r="D28" s="10">
        <f>SUM(D2:D27)</f>
        <v>1783</v>
      </c>
      <c r="E28" s="10">
        <f>SUM(E2:E27)</f>
        <v>396</v>
      </c>
      <c r="F28" s="10">
        <f>SUM(F2:F27)</f>
        <v>1030</v>
      </c>
      <c r="G28" s="10">
        <f>SUM(G2:G27)</f>
        <v>1379</v>
      </c>
      <c r="H28" s="10">
        <f>SUM(H2:H27)</f>
        <v>1597</v>
      </c>
      <c r="I28" s="10">
        <f>SUM(I2:I27)</f>
        <v>438</v>
      </c>
      <c r="J28" s="10">
        <f>SUM(J2:J27)</f>
        <v>400</v>
      </c>
      <c r="K28" s="10">
        <f>SUM(K2:K27)</f>
        <v>1175</v>
      </c>
      <c r="L28" s="10">
        <f>SUM(L2:L27)</f>
        <v>1598</v>
      </c>
      <c r="M28" s="10">
        <f>SUM(M2:M27)</f>
        <v>1087</v>
      </c>
      <c r="N28" s="10">
        <f>SUM(N2:N27)</f>
        <v>1703</v>
      </c>
      <c r="O28" s="10">
        <f>SUM(O2:O27)</f>
        <v>1276</v>
      </c>
      <c r="P28" s="10">
        <f>SUM(P2:P27)</f>
        <v>2316</v>
      </c>
      <c r="Q28" s="10">
        <f>SUM(Q2:Q27)</f>
        <v>673</v>
      </c>
      <c r="R28" s="10">
        <f>SUM(R2:R27)</f>
        <v>501</v>
      </c>
      <c r="S28" s="10">
        <f>SUM(S2:S27)</f>
        <v>19604</v>
      </c>
      <c r="T28" s="11">
        <f>AVERAGE(S2:S27)</f>
        <v>754</v>
      </c>
      <c r="U28" s="10">
        <f>MIN(S2:S27)</f>
        <v>355</v>
      </c>
      <c r="V28" s="10">
        <f>MAX(S2:S27)</f>
        <v>1036</v>
      </c>
    </row>
  </sheetData>
  <autoFilter ref="A1:V2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2" width="12" customWidth="1"/>
    <col min="3" max="3" width="14" customWidth="1"/>
    <col min="4" max="4" width="36" customWidth="1"/>
    <col min="5" max="5" width="38" customWidth="1"/>
    <col min="6" max="7" width="22" customWidth="1"/>
  </cols>
  <sheetData>
    <row r="1" ht="26" customHeight="1">
      <c r="A1" s="1" t="inlineStr">
        <is>
          <t>Rocznik</t>
        </is>
      </c>
      <c r="B1" s="1" t="inlineStr">
        <is>
          <t>Nr obwodu</t>
        </is>
      </c>
      <c r="C1" s="1" t="inlineStr">
        <is>
          <t>Obwód</t>
        </is>
      </c>
      <c r="D1" s="1" t="inlineStr">
        <is>
          <t>Szkoła (siedziba)</t>
        </is>
      </c>
      <c r="E1" s="1" t="inlineStr">
        <is>
          <t>Kategoria</t>
        </is>
      </c>
      <c r="F1" s="2" t="inlineStr">
        <is>
          <t>Liczba zameldowanych</t>
        </is>
      </c>
      <c r="G1" s="2" t="inlineStr">
        <is>
          <t>Udział w roczniku %</t>
        </is>
      </c>
    </row>
    <row r="2" ht="19">
      <c r="A2" s="3">
        <v>2001</v>
      </c>
      <c r="B2" s="3">
        <v>1</v>
      </c>
      <c r="C2" s="3" t="inlineStr">
        <is>
          <t>OBWÓD 1</t>
        </is>
      </c>
      <c r="D2" s="4" t="inlineStr">
        <is>
          <t>SZKOŁA PODSTAWOWA NR 1</t>
        </is>
      </c>
      <c r="E2" s="4" t="inlineStr">
        <is>
          <t>Szkoły miejskie (SP nr 1-21)</t>
        </is>
      </c>
      <c r="F2" s="5">
        <v>44</v>
      </c>
      <c r="G2" s="8">
        <v>0.0615</v>
      </c>
    </row>
    <row r="3" ht="19">
      <c r="A3" s="3">
        <v>2001</v>
      </c>
      <c r="B3" s="3">
        <v>2</v>
      </c>
      <c r="C3" s="3" t="inlineStr">
        <is>
          <t>OBWÓD 2</t>
        </is>
      </c>
      <c r="D3" s="4" t="inlineStr">
        <is>
          <t>SZKOŁA PODSTAWOWA NR 2</t>
        </is>
      </c>
      <c r="E3" s="4" t="inlineStr">
        <is>
          <t>Szkoły miejskie (SP nr 1-21)</t>
        </is>
      </c>
      <c r="F3" s="5">
        <v>42</v>
      </c>
      <c r="G3" s="8">
        <v>0.0587</v>
      </c>
    </row>
    <row r="4" ht="19">
      <c r="A4" s="3">
        <v>2001</v>
      </c>
      <c r="B4" s="3">
        <v>3</v>
      </c>
      <c r="C4" s="3" t="inlineStr">
        <is>
          <t>OBWÓD 3</t>
        </is>
      </c>
      <c r="D4" s="4" t="inlineStr">
        <is>
          <t>SZKOŁA PODSTAWOWA NR 3</t>
        </is>
      </c>
      <c r="E4" s="4" t="inlineStr">
        <is>
          <t>Szkoły miejskie (SP nr 1-21)</t>
        </is>
      </c>
      <c r="F4" s="5">
        <v>74</v>
      </c>
      <c r="G4" s="8">
        <v>0.1035</v>
      </c>
    </row>
    <row r="5" ht="19">
      <c r="A5" s="3">
        <v>2001</v>
      </c>
      <c r="B5" s="3">
        <v>6</v>
      </c>
      <c r="C5" s="3" t="inlineStr">
        <is>
          <t>OBWÓD 6</t>
        </is>
      </c>
      <c r="D5" s="4" t="inlineStr">
        <is>
          <t>SZKOŁA PODSTAWOWA NR 6</t>
        </is>
      </c>
      <c r="E5" s="4" t="inlineStr">
        <is>
          <t>Szkoły miejskie (SP nr 1-21)</t>
        </is>
      </c>
      <c r="F5" s="5">
        <v>13</v>
      </c>
      <c r="G5" s="8">
        <v>0.0182</v>
      </c>
    </row>
    <row r="6" ht="19">
      <c r="A6" s="3">
        <v>2001</v>
      </c>
      <c r="B6" s="3">
        <v>7</v>
      </c>
      <c r="C6" s="3" t="inlineStr">
        <is>
          <t>OBWÓD 7</t>
        </is>
      </c>
      <c r="D6" s="4" t="inlineStr">
        <is>
          <t>SZKOŁA PODSTAWOWA NR 7</t>
        </is>
      </c>
      <c r="E6" s="4" t="inlineStr">
        <is>
          <t>Szkoły miejskie (SP nr 1-21)</t>
        </is>
      </c>
      <c r="F6" s="5">
        <v>44</v>
      </c>
      <c r="G6" s="8">
        <v>0.0615</v>
      </c>
    </row>
    <row r="7" ht="19">
      <c r="A7" s="3">
        <v>2001</v>
      </c>
      <c r="B7" s="3">
        <v>8</v>
      </c>
      <c r="C7" s="3" t="inlineStr">
        <is>
          <t>OBWÓD 8</t>
        </is>
      </c>
      <c r="D7" s="4" t="inlineStr">
        <is>
          <t>SZKOŁA PODSTAWOWA NR 8</t>
        </is>
      </c>
      <c r="E7" s="4" t="inlineStr">
        <is>
          <t>Szkoły miejskie (SP nr 1-21)</t>
        </is>
      </c>
      <c r="F7" s="5">
        <v>48</v>
      </c>
      <c r="G7" s="8">
        <v>0.0671</v>
      </c>
    </row>
    <row r="8" ht="19">
      <c r="A8" s="3">
        <v>2001</v>
      </c>
      <c r="B8" s="3">
        <v>9</v>
      </c>
      <c r="C8" s="3" t="inlineStr">
        <is>
          <t>OBWÓD 9</t>
        </is>
      </c>
      <c r="D8" s="4" t="inlineStr">
        <is>
          <t>SZKOŁA PODSTAWOWA NR 9</t>
        </is>
      </c>
      <c r="E8" s="4" t="inlineStr">
        <is>
          <t>Szkoły miejskie (SP nr 1-21)</t>
        </is>
      </c>
      <c r="F8" s="5">
        <v>58</v>
      </c>
      <c r="G8" s="8">
        <v>0.0811</v>
      </c>
    </row>
    <row r="9" ht="19">
      <c r="A9" s="3">
        <v>2001</v>
      </c>
      <c r="B9" s="3">
        <v>11</v>
      </c>
      <c r="C9" s="3" t="inlineStr">
        <is>
          <t>OBWÓD 11</t>
        </is>
      </c>
      <c r="D9" s="4" t="inlineStr">
        <is>
          <t>SZKOŁA PODSTAWOWA NR 11</t>
        </is>
      </c>
      <c r="E9" s="4" t="inlineStr">
        <is>
          <t>Szkoły miejskie (SP nr 1-21)</t>
        </is>
      </c>
      <c r="F9" s="5">
        <v>23</v>
      </c>
      <c r="G9" s="8">
        <v>0.0322</v>
      </c>
    </row>
    <row r="10" ht="19">
      <c r="A10" s="3">
        <v>2001</v>
      </c>
      <c r="B10" s="3">
        <v>14</v>
      </c>
      <c r="C10" s="3" t="inlineStr">
        <is>
          <t>OBWÓD 14</t>
        </is>
      </c>
      <c r="D10" s="4" t="inlineStr">
        <is>
          <t>SZKOŁA PODSTAWOWA NR 14</t>
        </is>
      </c>
      <c r="E10" s="4" t="inlineStr">
        <is>
          <t>Szkoły miejskie (SP nr 1-21)</t>
        </is>
      </c>
      <c r="F10" s="5">
        <v>20</v>
      </c>
      <c r="G10" s="8">
        <v>0.028</v>
      </c>
    </row>
    <row r="11" ht="19">
      <c r="A11" s="3">
        <v>2001</v>
      </c>
      <c r="B11" s="3">
        <v>15</v>
      </c>
      <c r="C11" s="3" t="inlineStr">
        <is>
          <t>OBWÓD 15</t>
        </is>
      </c>
      <c r="D11" s="4" t="inlineStr">
        <is>
          <t>SZKOŁA PODSTAWOWA NR 15</t>
        </is>
      </c>
      <c r="E11" s="4" t="inlineStr">
        <is>
          <t>Szkoły miejskie (SP nr 1-21)</t>
        </is>
      </c>
      <c r="F11" s="5">
        <v>32</v>
      </c>
      <c r="G11" s="8">
        <v>0.0448</v>
      </c>
    </row>
    <row r="12" ht="19">
      <c r="A12" s="3">
        <v>2001</v>
      </c>
      <c r="B12" s="3">
        <v>16</v>
      </c>
      <c r="C12" s="3" t="inlineStr">
        <is>
          <t>OBWÓD 16</t>
        </is>
      </c>
      <c r="D12" s="4" t="inlineStr">
        <is>
          <t>SZKOŁA PODSTAWOWA NR 16</t>
        </is>
      </c>
      <c r="E12" s="4" t="inlineStr">
        <is>
          <t>Szkoły miejskie (SP nr 1-21)</t>
        </is>
      </c>
      <c r="F12" s="5">
        <v>53</v>
      </c>
      <c r="G12" s="8">
        <v>0.0741</v>
      </c>
    </row>
    <row r="13" ht="19">
      <c r="A13" s="3">
        <v>2001</v>
      </c>
      <c r="B13" s="3">
        <v>17</v>
      </c>
      <c r="C13" s="3" t="inlineStr">
        <is>
          <t>OBWÓD 17</t>
        </is>
      </c>
      <c r="D13" s="4" t="inlineStr">
        <is>
          <t>SZKOŁA PODSTAWOWA NR 17</t>
        </is>
      </c>
      <c r="E13" s="4" t="inlineStr">
        <is>
          <t>Szkoły miejskie (SP nr 1-21)</t>
        </is>
      </c>
      <c r="F13" s="5">
        <v>36</v>
      </c>
      <c r="G13" s="8">
        <v>0.0503</v>
      </c>
    </row>
    <row r="14" ht="19">
      <c r="A14" s="3">
        <v>2001</v>
      </c>
      <c r="B14" s="3">
        <v>18</v>
      </c>
      <c r="C14" s="3" t="inlineStr">
        <is>
          <t>OBWÓD 18</t>
        </is>
      </c>
      <c r="D14" s="4" t="inlineStr">
        <is>
          <t>SZKOŁA PODSTAWOWA NR 18</t>
        </is>
      </c>
      <c r="E14" s="4" t="inlineStr">
        <is>
          <t>Szkoły miejskie (SP nr 1-21)</t>
        </is>
      </c>
      <c r="F14" s="5">
        <v>65</v>
      </c>
      <c r="G14" s="8">
        <v>0.0909</v>
      </c>
    </row>
    <row r="15" ht="19">
      <c r="A15" s="3">
        <v>2001</v>
      </c>
      <c r="B15" s="3">
        <v>20</v>
      </c>
      <c r="C15" s="3" t="inlineStr">
        <is>
          <t>OBWÓD 20</t>
        </is>
      </c>
      <c r="D15" s="4" t="inlineStr">
        <is>
          <t>SZKOŁA PODSTAWOWA NR 20</t>
        </is>
      </c>
      <c r="E15" s="4" t="inlineStr">
        <is>
          <t>Szkoły miejskie (SP nr 1-21)</t>
        </is>
      </c>
      <c r="F15" s="5">
        <v>44</v>
      </c>
      <c r="G15" s="8">
        <v>0.0615</v>
      </c>
    </row>
    <row r="16" ht="19">
      <c r="A16" s="3">
        <v>2001</v>
      </c>
      <c r="B16" s="3">
        <v>21</v>
      </c>
      <c r="C16" s="3" t="inlineStr">
        <is>
          <t>OBWÓD 21</t>
        </is>
      </c>
      <c r="D16" s="4" t="inlineStr">
        <is>
          <t>SZKOŁA PODSTAWOWA NR 21</t>
        </is>
      </c>
      <c r="E16" s="4" t="inlineStr">
        <is>
          <t>Szkoły miejskie (SP nr 1-21)</t>
        </is>
      </c>
      <c r="F16" s="5">
        <v>71</v>
      </c>
      <c r="G16" s="8">
        <v>0.0993</v>
      </c>
    </row>
    <row r="17" ht="19">
      <c r="A17" s="3">
        <v>2001</v>
      </c>
      <c r="B17" s="3">
        <v>22</v>
      </c>
      <c r="C17" s="3" t="inlineStr">
        <is>
          <t>OBWÓD 22</t>
        </is>
      </c>
      <c r="D17" s="4" t="inlineStr">
        <is>
          <t>SZKOŁA PODSTAWOWA W CHEŁMCU</t>
        </is>
      </c>
      <c r="E17" s="4" t="inlineStr">
        <is>
          <t>Obwody podmiejskie (Chełmiec / Piątkowa)</t>
        </is>
      </c>
      <c r="F17" s="5">
        <v>28</v>
      </c>
      <c r="G17" s="8">
        <v>0.0392</v>
      </c>
    </row>
    <row r="18" ht="19">
      <c r="A18" s="3">
        <v>2001</v>
      </c>
      <c r="B18" s="3">
        <v>23</v>
      </c>
      <c r="C18" s="3" t="inlineStr">
        <is>
          <t>OBWÓD 23</t>
        </is>
      </c>
      <c r="D18" s="4" t="inlineStr">
        <is>
          <t>SZKOŁA PODSTAWOWA W PIĄTKOWEJ</t>
        </is>
      </c>
      <c r="E18" s="4" t="inlineStr">
        <is>
          <t>Obwody podmiejskie (Chełmiec / Piątkowa)</t>
        </is>
      </c>
      <c r="F18" s="5">
        <v>20</v>
      </c>
      <c r="G18" s="8">
        <v>0.028</v>
      </c>
    </row>
    <row r="19" ht="19">
      <c r="A19" s="3">
        <v>2002</v>
      </c>
      <c r="B19" s="3">
        <v>1</v>
      </c>
      <c r="C19" s="3" t="inlineStr">
        <is>
          <t>OBWÓD 1</t>
        </is>
      </c>
      <c r="D19" s="4" t="inlineStr">
        <is>
          <t>SZKOŁA PODSTAWOWA NR 1</t>
        </is>
      </c>
      <c r="E19" s="4" t="inlineStr">
        <is>
          <t>Szkoły miejskie (SP nr 1-21)</t>
        </is>
      </c>
      <c r="F19" s="5">
        <v>40</v>
      </c>
      <c r="G19" s="8">
        <v>0.0592</v>
      </c>
    </row>
    <row r="20" ht="19">
      <c r="A20" s="3">
        <v>2002</v>
      </c>
      <c r="B20" s="3">
        <v>2</v>
      </c>
      <c r="C20" s="3" t="inlineStr">
        <is>
          <t>OBWÓD 2</t>
        </is>
      </c>
      <c r="D20" s="4" t="inlineStr">
        <is>
          <t>SZKOŁA PODSTAWOWA NR 2</t>
        </is>
      </c>
      <c r="E20" s="4" t="inlineStr">
        <is>
          <t>Szkoły miejskie (SP nr 1-21)</t>
        </is>
      </c>
      <c r="F20" s="5">
        <v>26</v>
      </c>
      <c r="G20" s="8">
        <v>0.0385</v>
      </c>
    </row>
    <row r="21" ht="19">
      <c r="A21" s="3">
        <v>2002</v>
      </c>
      <c r="B21" s="3">
        <v>3</v>
      </c>
      <c r="C21" s="3" t="inlineStr">
        <is>
          <t>OBWÓD 3</t>
        </is>
      </c>
      <c r="D21" s="4" t="inlineStr">
        <is>
          <t>SZKOŁA PODSTAWOWA NR 3</t>
        </is>
      </c>
      <c r="E21" s="4" t="inlineStr">
        <is>
          <t>Szkoły miejskie (SP nr 1-21)</t>
        </is>
      </c>
      <c r="F21" s="5">
        <v>72</v>
      </c>
      <c r="G21" s="8">
        <v>0.1065</v>
      </c>
    </row>
    <row r="22" ht="19">
      <c r="A22" s="3">
        <v>2002</v>
      </c>
      <c r="B22" s="3">
        <v>6</v>
      </c>
      <c r="C22" s="3" t="inlineStr">
        <is>
          <t>OBWÓD 6</t>
        </is>
      </c>
      <c r="D22" s="4" t="inlineStr">
        <is>
          <t>SZKOŁA PODSTAWOWA NR 6</t>
        </is>
      </c>
      <c r="E22" s="4" t="inlineStr">
        <is>
          <t>Szkoły miejskie (SP nr 1-21)</t>
        </is>
      </c>
      <c r="F22" s="5">
        <v>11</v>
      </c>
      <c r="G22" s="8">
        <v>0.0163</v>
      </c>
    </row>
    <row r="23" ht="19">
      <c r="A23" s="3">
        <v>2002</v>
      </c>
      <c r="B23" s="3">
        <v>7</v>
      </c>
      <c r="C23" s="3" t="inlineStr">
        <is>
          <t>OBWÓD 7</t>
        </is>
      </c>
      <c r="D23" s="4" t="inlineStr">
        <is>
          <t>SZKOŁA PODSTAWOWA NR 7</t>
        </is>
      </c>
      <c r="E23" s="4" t="inlineStr">
        <is>
          <t>Szkoły miejskie (SP nr 1-21)</t>
        </is>
      </c>
      <c r="F23" s="5">
        <v>40</v>
      </c>
      <c r="G23" s="8">
        <v>0.0592</v>
      </c>
    </row>
    <row r="24" ht="19">
      <c r="A24" s="3">
        <v>2002</v>
      </c>
      <c r="B24" s="3">
        <v>8</v>
      </c>
      <c r="C24" s="3" t="inlineStr">
        <is>
          <t>OBWÓD 8</t>
        </is>
      </c>
      <c r="D24" s="4" t="inlineStr">
        <is>
          <t>SZKOŁA PODSTAWOWA NR 8</t>
        </is>
      </c>
      <c r="E24" s="4" t="inlineStr">
        <is>
          <t>Szkoły miejskie (SP nr 1-21)</t>
        </is>
      </c>
      <c r="F24" s="5">
        <v>42</v>
      </c>
      <c r="G24" s="8">
        <v>0.0621</v>
      </c>
    </row>
    <row r="25" ht="19">
      <c r="A25" s="3">
        <v>2002</v>
      </c>
      <c r="B25" s="3">
        <v>9</v>
      </c>
      <c r="C25" s="3" t="inlineStr">
        <is>
          <t>OBWÓD 9</t>
        </is>
      </c>
      <c r="D25" s="4" t="inlineStr">
        <is>
          <t>SZKOŁA PODSTAWOWA NR 9</t>
        </is>
      </c>
      <c r="E25" s="4" t="inlineStr">
        <is>
          <t>Szkoły miejskie (SP nr 1-21)</t>
        </is>
      </c>
      <c r="F25" s="5">
        <v>46</v>
      </c>
      <c r="G25" s="8">
        <v>0.068</v>
      </c>
    </row>
    <row r="26" ht="19">
      <c r="A26" s="3">
        <v>2002</v>
      </c>
      <c r="B26" s="3">
        <v>11</v>
      </c>
      <c r="C26" s="3" t="inlineStr">
        <is>
          <t>OBWÓD 11</t>
        </is>
      </c>
      <c r="D26" s="4" t="inlineStr">
        <is>
          <t>SZKOŁA PODSTAWOWA NR 11</t>
        </is>
      </c>
      <c r="E26" s="4" t="inlineStr">
        <is>
          <t>Szkoły miejskie (SP nr 1-21)</t>
        </is>
      </c>
      <c r="F26" s="5">
        <v>11</v>
      </c>
      <c r="G26" s="8">
        <v>0.0163</v>
      </c>
    </row>
    <row r="27" ht="19">
      <c r="A27" s="3">
        <v>2002</v>
      </c>
      <c r="B27" s="3">
        <v>14</v>
      </c>
      <c r="C27" s="3" t="inlineStr">
        <is>
          <t>OBWÓD 14</t>
        </is>
      </c>
      <c r="D27" s="4" t="inlineStr">
        <is>
          <t>SZKOŁA PODSTAWOWA NR 14</t>
        </is>
      </c>
      <c r="E27" s="4" t="inlineStr">
        <is>
          <t>Szkoły miejskie (SP nr 1-21)</t>
        </is>
      </c>
      <c r="F27" s="5">
        <v>12</v>
      </c>
      <c r="G27" s="8">
        <v>0.0178</v>
      </c>
    </row>
    <row r="28" ht="19">
      <c r="A28" s="3">
        <v>2002</v>
      </c>
      <c r="B28" s="3">
        <v>15</v>
      </c>
      <c r="C28" s="3" t="inlineStr">
        <is>
          <t>OBWÓD 15</t>
        </is>
      </c>
      <c r="D28" s="4" t="inlineStr">
        <is>
          <t>SZKOŁA PODSTAWOWA NR 15</t>
        </is>
      </c>
      <c r="E28" s="4" t="inlineStr">
        <is>
          <t>Szkoły miejskie (SP nr 1-21)</t>
        </is>
      </c>
      <c r="F28" s="5">
        <v>37</v>
      </c>
      <c r="G28" s="8">
        <v>0.0547</v>
      </c>
    </row>
    <row r="29" ht="19">
      <c r="A29" s="3">
        <v>2002</v>
      </c>
      <c r="B29" s="3">
        <v>16</v>
      </c>
      <c r="C29" s="3" t="inlineStr">
        <is>
          <t>OBWÓD 16</t>
        </is>
      </c>
      <c r="D29" s="4" t="inlineStr">
        <is>
          <t>SZKOŁA PODSTAWOWA NR 16</t>
        </is>
      </c>
      <c r="E29" s="4" t="inlineStr">
        <is>
          <t>Szkoły miejskie (SP nr 1-21)</t>
        </is>
      </c>
      <c r="F29" s="5">
        <v>58</v>
      </c>
      <c r="G29" s="8">
        <v>0.0858</v>
      </c>
    </row>
    <row r="30" ht="19">
      <c r="A30" s="3">
        <v>2002</v>
      </c>
      <c r="B30" s="3">
        <v>17</v>
      </c>
      <c r="C30" s="3" t="inlineStr">
        <is>
          <t>OBWÓD 17</t>
        </is>
      </c>
      <c r="D30" s="4" t="inlineStr">
        <is>
          <t>SZKOŁA PODSTAWOWA NR 17</t>
        </is>
      </c>
      <c r="E30" s="4" t="inlineStr">
        <is>
          <t>Szkoły miejskie (SP nr 1-21)</t>
        </is>
      </c>
      <c r="F30" s="5">
        <v>37</v>
      </c>
      <c r="G30" s="8">
        <v>0.0547</v>
      </c>
    </row>
    <row r="31" ht="19">
      <c r="A31" s="3">
        <v>2002</v>
      </c>
      <c r="B31" s="3">
        <v>18</v>
      </c>
      <c r="C31" s="3" t="inlineStr">
        <is>
          <t>OBWÓD 18</t>
        </is>
      </c>
      <c r="D31" s="4" t="inlineStr">
        <is>
          <t>SZKOŁA PODSTAWOWA NR 18</t>
        </is>
      </c>
      <c r="E31" s="4" t="inlineStr">
        <is>
          <t>Szkoły miejskie (SP nr 1-21)</t>
        </is>
      </c>
      <c r="F31" s="5">
        <v>63</v>
      </c>
      <c r="G31" s="8">
        <v>0.0932</v>
      </c>
    </row>
    <row r="32" ht="19">
      <c r="A32" s="3">
        <v>2002</v>
      </c>
      <c r="B32" s="3">
        <v>20</v>
      </c>
      <c r="C32" s="3" t="inlineStr">
        <is>
          <t>OBWÓD 20</t>
        </is>
      </c>
      <c r="D32" s="4" t="inlineStr">
        <is>
          <t>SZKOŁA PODSTAWOWA NR 20</t>
        </is>
      </c>
      <c r="E32" s="4" t="inlineStr">
        <is>
          <t>Szkoły miejskie (SP nr 1-21)</t>
        </is>
      </c>
      <c r="F32" s="5">
        <v>63</v>
      </c>
      <c r="G32" s="8">
        <v>0.0932</v>
      </c>
    </row>
    <row r="33" ht="19">
      <c r="A33" s="3">
        <v>2002</v>
      </c>
      <c r="B33" s="3">
        <v>21</v>
      </c>
      <c r="C33" s="3" t="inlineStr">
        <is>
          <t>OBWÓD 21</t>
        </is>
      </c>
      <c r="D33" s="4" t="inlineStr">
        <is>
          <t>SZKOŁA PODSTAWOWA NR 21</t>
        </is>
      </c>
      <c r="E33" s="4" t="inlineStr">
        <is>
          <t>Szkoły miejskie (SP nr 1-21)</t>
        </is>
      </c>
      <c r="F33" s="5">
        <v>76</v>
      </c>
      <c r="G33" s="8">
        <v>0.1124</v>
      </c>
    </row>
    <row r="34" ht="19">
      <c r="A34" s="3">
        <v>2002</v>
      </c>
      <c r="B34" s="3">
        <v>22</v>
      </c>
      <c r="C34" s="3" t="inlineStr">
        <is>
          <t>OBWÓD 22</t>
        </is>
      </c>
      <c r="D34" s="4" t="inlineStr">
        <is>
          <t>SZKOŁA PODSTAWOWA W CHEŁMCU</t>
        </is>
      </c>
      <c r="E34" s="4" t="inlineStr">
        <is>
          <t>Obwody podmiejskie (Chełmiec / Piątkowa)</t>
        </is>
      </c>
      <c r="F34" s="5">
        <v>25</v>
      </c>
      <c r="G34" s="8">
        <v>0.037</v>
      </c>
    </row>
    <row r="35" ht="19">
      <c r="A35" s="3">
        <v>2002</v>
      </c>
      <c r="B35" s="3">
        <v>23</v>
      </c>
      <c r="C35" s="3" t="inlineStr">
        <is>
          <t>OBWÓD 23</t>
        </is>
      </c>
      <c r="D35" s="4" t="inlineStr">
        <is>
          <t>SZKOŁA PODSTAWOWA W PIĄTKOWEJ</t>
        </is>
      </c>
      <c r="E35" s="4" t="inlineStr">
        <is>
          <t>Obwody podmiejskie (Chełmiec / Piątkowa)</t>
        </is>
      </c>
      <c r="F35" s="5">
        <v>17</v>
      </c>
      <c r="G35" s="8">
        <v>0.0251</v>
      </c>
    </row>
    <row r="36" ht="19">
      <c r="A36" s="3">
        <v>2003</v>
      </c>
      <c r="B36" s="3">
        <v>1</v>
      </c>
      <c r="C36" s="3" t="inlineStr">
        <is>
          <t>OBWÓD 1</t>
        </is>
      </c>
      <c r="D36" s="4" t="inlineStr">
        <is>
          <t>SZKOŁA PODSTAWOWA NR 1</t>
        </is>
      </c>
      <c r="E36" s="4" t="inlineStr">
        <is>
          <t>Szkoły miejskie (SP nr 1-21)</t>
        </is>
      </c>
      <c r="F36" s="5">
        <v>41</v>
      </c>
      <c r="G36" s="8">
        <v>0.0558</v>
      </c>
    </row>
    <row r="37" ht="19">
      <c r="A37" s="3">
        <v>2003</v>
      </c>
      <c r="B37" s="3">
        <v>2</v>
      </c>
      <c r="C37" s="3" t="inlineStr">
        <is>
          <t>OBWÓD 2</t>
        </is>
      </c>
      <c r="D37" s="4" t="inlineStr">
        <is>
          <t>SZKOŁA PODSTAWOWA NR 2</t>
        </is>
      </c>
      <c r="E37" s="4" t="inlineStr">
        <is>
          <t>Szkoły miejskie (SP nr 1-21)</t>
        </is>
      </c>
      <c r="F37" s="5">
        <v>33</v>
      </c>
      <c r="G37" s="8">
        <v>0.0449</v>
      </c>
    </row>
    <row r="38" ht="19">
      <c r="A38" s="3">
        <v>2003</v>
      </c>
      <c r="B38" s="3">
        <v>3</v>
      </c>
      <c r="C38" s="3" t="inlineStr">
        <is>
          <t>OBWÓD 3</t>
        </is>
      </c>
      <c r="D38" s="4" t="inlineStr">
        <is>
          <t>SZKOŁA PODSTAWOWA NR 3</t>
        </is>
      </c>
      <c r="E38" s="4" t="inlineStr">
        <is>
          <t>Szkoły miejskie (SP nr 1-21)</t>
        </is>
      </c>
      <c r="F38" s="5">
        <v>72</v>
      </c>
      <c r="G38" s="8">
        <v>0.098</v>
      </c>
    </row>
    <row r="39" ht="19">
      <c r="A39" s="3">
        <v>2003</v>
      </c>
      <c r="B39" s="3">
        <v>6</v>
      </c>
      <c r="C39" s="3" t="inlineStr">
        <is>
          <t>OBWÓD 6</t>
        </is>
      </c>
      <c r="D39" s="4" t="inlineStr">
        <is>
          <t>SZKOŁA PODSTAWOWA NR 6</t>
        </is>
      </c>
      <c r="E39" s="4" t="inlineStr">
        <is>
          <t>Szkoły miejskie (SP nr 1-21)</t>
        </is>
      </c>
      <c r="F39" s="5">
        <v>16</v>
      </c>
      <c r="G39" s="8">
        <v>0.0218</v>
      </c>
    </row>
    <row r="40" ht="19">
      <c r="A40" s="3">
        <v>2003</v>
      </c>
      <c r="B40" s="3">
        <v>7</v>
      </c>
      <c r="C40" s="3" t="inlineStr">
        <is>
          <t>OBWÓD 7</t>
        </is>
      </c>
      <c r="D40" s="4" t="inlineStr">
        <is>
          <t>SZKOŁA PODSTAWOWA NR 7</t>
        </is>
      </c>
      <c r="E40" s="4" t="inlineStr">
        <is>
          <t>Szkoły miejskie (SP nr 1-21)</t>
        </is>
      </c>
      <c r="F40" s="5">
        <v>45</v>
      </c>
      <c r="G40" s="8">
        <v>0.0612</v>
      </c>
    </row>
    <row r="41" ht="19">
      <c r="A41" s="3">
        <v>2003</v>
      </c>
      <c r="B41" s="3">
        <v>8</v>
      </c>
      <c r="C41" s="3" t="inlineStr">
        <is>
          <t>OBWÓD 8</t>
        </is>
      </c>
      <c r="D41" s="4" t="inlineStr">
        <is>
          <t>SZKOŁA PODSTAWOWA NR 8</t>
        </is>
      </c>
      <c r="E41" s="4" t="inlineStr">
        <is>
          <t>Szkoły miejskie (SP nr 1-21)</t>
        </is>
      </c>
      <c r="F41" s="5">
        <v>46</v>
      </c>
      <c r="G41" s="8">
        <v>0.0626</v>
      </c>
    </row>
    <row r="42" ht="19">
      <c r="A42" s="3">
        <v>2003</v>
      </c>
      <c r="B42" s="3">
        <v>9</v>
      </c>
      <c r="C42" s="3" t="inlineStr">
        <is>
          <t>OBWÓD 9</t>
        </is>
      </c>
      <c r="D42" s="4" t="inlineStr">
        <is>
          <t>SZKOŁA PODSTAWOWA NR 9</t>
        </is>
      </c>
      <c r="E42" s="4" t="inlineStr">
        <is>
          <t>Szkoły miejskie (SP nr 1-21)</t>
        </is>
      </c>
      <c r="F42" s="5">
        <v>56</v>
      </c>
      <c r="G42" s="8">
        <v>0.0762</v>
      </c>
    </row>
    <row r="43" ht="19">
      <c r="A43" s="3">
        <v>2003</v>
      </c>
      <c r="B43" s="3">
        <v>11</v>
      </c>
      <c r="C43" s="3" t="inlineStr">
        <is>
          <t>OBWÓD 11</t>
        </is>
      </c>
      <c r="D43" s="4" t="inlineStr">
        <is>
          <t>SZKOŁA PODSTAWOWA NR 11</t>
        </is>
      </c>
      <c r="E43" s="4" t="inlineStr">
        <is>
          <t>Szkoły miejskie (SP nr 1-21)</t>
        </is>
      </c>
      <c r="F43" s="5">
        <v>14</v>
      </c>
      <c r="G43" s="8">
        <v>0.019</v>
      </c>
    </row>
    <row r="44" ht="19">
      <c r="A44" s="3">
        <v>2003</v>
      </c>
      <c r="B44" s="3">
        <v>14</v>
      </c>
      <c r="C44" s="3" t="inlineStr">
        <is>
          <t>OBWÓD 14</t>
        </is>
      </c>
      <c r="D44" s="4" t="inlineStr">
        <is>
          <t>SZKOŁA PODSTAWOWA NR 14</t>
        </is>
      </c>
      <c r="E44" s="4" t="inlineStr">
        <is>
          <t>Szkoły miejskie (SP nr 1-21)</t>
        </is>
      </c>
      <c r="F44" s="5">
        <v>19</v>
      </c>
      <c r="G44" s="8">
        <v>0.0259</v>
      </c>
    </row>
    <row r="45" ht="19">
      <c r="A45" s="3">
        <v>2003</v>
      </c>
      <c r="B45" s="3">
        <v>15</v>
      </c>
      <c r="C45" s="3" t="inlineStr">
        <is>
          <t>OBWÓD 15</t>
        </is>
      </c>
      <c r="D45" s="4" t="inlineStr">
        <is>
          <t>SZKOŁA PODSTAWOWA NR 15</t>
        </is>
      </c>
      <c r="E45" s="4" t="inlineStr">
        <is>
          <t>Szkoły miejskie (SP nr 1-21)</t>
        </is>
      </c>
      <c r="F45" s="5">
        <v>43</v>
      </c>
      <c r="G45" s="8">
        <v>0.0585</v>
      </c>
    </row>
    <row r="46" ht="19">
      <c r="A46" s="3">
        <v>2003</v>
      </c>
      <c r="B46" s="3">
        <v>16</v>
      </c>
      <c r="C46" s="3" t="inlineStr">
        <is>
          <t>OBWÓD 16</t>
        </is>
      </c>
      <c r="D46" s="4" t="inlineStr">
        <is>
          <t>SZKOŁA PODSTAWOWA NR 16</t>
        </is>
      </c>
      <c r="E46" s="4" t="inlineStr">
        <is>
          <t>Szkoły miejskie (SP nr 1-21)</t>
        </is>
      </c>
      <c r="F46" s="5">
        <v>57</v>
      </c>
      <c r="G46" s="8">
        <v>0.0776</v>
      </c>
    </row>
    <row r="47" ht="19">
      <c r="A47" s="3">
        <v>2003</v>
      </c>
      <c r="B47" s="3">
        <v>17</v>
      </c>
      <c r="C47" s="3" t="inlineStr">
        <is>
          <t>OBWÓD 17</t>
        </is>
      </c>
      <c r="D47" s="4" t="inlineStr">
        <is>
          <t>SZKOŁA PODSTAWOWA NR 17</t>
        </is>
      </c>
      <c r="E47" s="4" t="inlineStr">
        <is>
          <t>Szkoły miejskie (SP nr 1-21)</t>
        </is>
      </c>
      <c r="F47" s="5">
        <v>44</v>
      </c>
      <c r="G47" s="8">
        <v>0.0599</v>
      </c>
    </row>
    <row r="48" ht="19">
      <c r="A48" s="3">
        <v>2003</v>
      </c>
      <c r="B48" s="3">
        <v>18</v>
      </c>
      <c r="C48" s="3" t="inlineStr">
        <is>
          <t>OBWÓD 18</t>
        </is>
      </c>
      <c r="D48" s="4" t="inlineStr">
        <is>
          <t>SZKOŁA PODSTAWOWA NR 18</t>
        </is>
      </c>
      <c r="E48" s="4" t="inlineStr">
        <is>
          <t>Szkoły miejskie (SP nr 1-21)</t>
        </is>
      </c>
      <c r="F48" s="5">
        <v>76</v>
      </c>
      <c r="G48" s="8">
        <v>0.1034</v>
      </c>
    </row>
    <row r="49" ht="19">
      <c r="A49" s="3">
        <v>2003</v>
      </c>
      <c r="B49" s="3">
        <v>20</v>
      </c>
      <c r="C49" s="3" t="inlineStr">
        <is>
          <t>OBWÓD 20</t>
        </is>
      </c>
      <c r="D49" s="4" t="inlineStr">
        <is>
          <t>SZKOŁA PODSTAWOWA NR 20</t>
        </is>
      </c>
      <c r="E49" s="4" t="inlineStr">
        <is>
          <t>Szkoły miejskie (SP nr 1-21)</t>
        </is>
      </c>
      <c r="F49" s="5">
        <v>45</v>
      </c>
      <c r="G49" s="8">
        <v>0.0612</v>
      </c>
    </row>
    <row r="50" ht="19">
      <c r="A50" s="3">
        <v>2003</v>
      </c>
      <c r="B50" s="3">
        <v>21</v>
      </c>
      <c r="C50" s="3" t="inlineStr">
        <is>
          <t>OBWÓD 21</t>
        </is>
      </c>
      <c r="D50" s="4" t="inlineStr">
        <is>
          <t>SZKOŁA PODSTAWOWA NR 21</t>
        </is>
      </c>
      <c r="E50" s="4" t="inlineStr">
        <is>
          <t>Szkoły miejskie (SP nr 1-21)</t>
        </is>
      </c>
      <c r="F50" s="5">
        <v>86</v>
      </c>
      <c r="G50" s="8">
        <v>0.117</v>
      </c>
    </row>
    <row r="51" ht="19">
      <c r="A51" s="3">
        <v>2003</v>
      </c>
      <c r="B51" s="3">
        <v>22</v>
      </c>
      <c r="C51" s="3" t="inlineStr">
        <is>
          <t>OBWÓD 22</t>
        </is>
      </c>
      <c r="D51" s="4" t="inlineStr">
        <is>
          <t>SZKOŁA PODSTAWOWA W CHEŁMCU</t>
        </is>
      </c>
      <c r="E51" s="4" t="inlineStr">
        <is>
          <t>Obwody podmiejskie (Chełmiec / Piątkowa)</t>
        </is>
      </c>
      <c r="F51" s="5">
        <v>22</v>
      </c>
      <c r="G51" s="8">
        <v>0.0299</v>
      </c>
    </row>
    <row r="52" ht="19">
      <c r="A52" s="3">
        <v>2003</v>
      </c>
      <c r="B52" s="3">
        <v>23</v>
      </c>
      <c r="C52" s="3" t="inlineStr">
        <is>
          <t>OBWÓD 23</t>
        </is>
      </c>
      <c r="D52" s="4" t="inlineStr">
        <is>
          <t>SZKOŁA PODSTAWOWA W PIĄTKOWEJ</t>
        </is>
      </c>
      <c r="E52" s="4" t="inlineStr">
        <is>
          <t>Obwody podmiejskie (Chełmiec / Piątkowa)</t>
        </is>
      </c>
      <c r="F52" s="5">
        <v>20</v>
      </c>
      <c r="G52" s="8">
        <v>0.0272</v>
      </c>
    </row>
    <row r="53" ht="19">
      <c r="A53" s="3">
        <v>2004</v>
      </c>
      <c r="B53" s="3">
        <v>1</v>
      </c>
      <c r="C53" s="3" t="inlineStr">
        <is>
          <t>OBWÓD 1</t>
        </is>
      </c>
      <c r="D53" s="4" t="inlineStr">
        <is>
          <t>SZKOŁA PODSTAWOWA NR 1</t>
        </is>
      </c>
      <c r="E53" s="4" t="inlineStr">
        <is>
          <t>Szkoły miejskie (SP nr 1-21)</t>
        </is>
      </c>
      <c r="F53" s="5">
        <v>46</v>
      </c>
      <c r="G53" s="8">
        <v>0.0654</v>
      </c>
    </row>
    <row r="54" ht="19">
      <c r="A54" s="3">
        <v>2004</v>
      </c>
      <c r="B54" s="3">
        <v>2</v>
      </c>
      <c r="C54" s="3" t="inlineStr">
        <is>
          <t>OBWÓD 2</t>
        </is>
      </c>
      <c r="D54" s="4" t="inlineStr">
        <is>
          <t>SZKOŁA PODSTAWOWA NR 2</t>
        </is>
      </c>
      <c r="E54" s="4" t="inlineStr">
        <is>
          <t>Szkoły miejskie (SP nr 1-21)</t>
        </is>
      </c>
      <c r="F54" s="5">
        <v>45</v>
      </c>
      <c r="G54" s="8">
        <v>0.064</v>
      </c>
    </row>
    <row r="55" ht="19">
      <c r="A55" s="3">
        <v>2004</v>
      </c>
      <c r="B55" s="3">
        <v>3</v>
      </c>
      <c r="C55" s="3" t="inlineStr">
        <is>
          <t>OBWÓD 3</t>
        </is>
      </c>
      <c r="D55" s="4" t="inlineStr">
        <is>
          <t>SZKOŁA PODSTAWOWA NR 3</t>
        </is>
      </c>
      <c r="E55" s="4" t="inlineStr">
        <is>
          <t>Szkoły miejskie (SP nr 1-21)</t>
        </is>
      </c>
      <c r="F55" s="5">
        <v>79</v>
      </c>
      <c r="G55" s="8">
        <v>0.1124</v>
      </c>
    </row>
    <row r="56" ht="19">
      <c r="A56" s="3">
        <v>2004</v>
      </c>
      <c r="B56" s="3">
        <v>6</v>
      </c>
      <c r="C56" s="3" t="inlineStr">
        <is>
          <t>OBWÓD 6</t>
        </is>
      </c>
      <c r="D56" s="4" t="inlineStr">
        <is>
          <t>SZKOŁA PODSTAWOWA NR 6</t>
        </is>
      </c>
      <c r="E56" s="4" t="inlineStr">
        <is>
          <t>Szkoły miejskie (SP nr 1-21)</t>
        </is>
      </c>
      <c r="F56" s="5">
        <v>14</v>
      </c>
      <c r="G56" s="8">
        <v>0.0199</v>
      </c>
    </row>
    <row r="57" ht="19">
      <c r="A57" s="3">
        <v>2004</v>
      </c>
      <c r="B57" s="3">
        <v>7</v>
      </c>
      <c r="C57" s="3" t="inlineStr">
        <is>
          <t>OBWÓD 7</t>
        </is>
      </c>
      <c r="D57" s="4" t="inlineStr">
        <is>
          <t>SZKOŁA PODSTAWOWA NR 7</t>
        </is>
      </c>
      <c r="E57" s="4" t="inlineStr">
        <is>
          <t>Szkoły miejskie (SP nr 1-21)</t>
        </is>
      </c>
      <c r="F57" s="5">
        <v>47</v>
      </c>
      <c r="G57" s="8">
        <v>0.0669</v>
      </c>
    </row>
    <row r="58" ht="19">
      <c r="A58" s="3">
        <v>2004</v>
      </c>
      <c r="B58" s="3">
        <v>8</v>
      </c>
      <c r="C58" s="3" t="inlineStr">
        <is>
          <t>OBWÓD 8</t>
        </is>
      </c>
      <c r="D58" s="4" t="inlineStr">
        <is>
          <t>SZKOŁA PODSTAWOWA NR 8</t>
        </is>
      </c>
      <c r="E58" s="4" t="inlineStr">
        <is>
          <t>Szkoły miejskie (SP nr 1-21)</t>
        </is>
      </c>
      <c r="F58" s="5">
        <v>42</v>
      </c>
      <c r="G58" s="8">
        <v>0.0597</v>
      </c>
    </row>
    <row r="59" ht="19">
      <c r="A59" s="3">
        <v>2004</v>
      </c>
      <c r="B59" s="3">
        <v>9</v>
      </c>
      <c r="C59" s="3" t="inlineStr">
        <is>
          <t>OBWÓD 9</t>
        </is>
      </c>
      <c r="D59" s="4" t="inlineStr">
        <is>
          <t>SZKOŁA PODSTAWOWA NR 9</t>
        </is>
      </c>
      <c r="E59" s="4" t="inlineStr">
        <is>
          <t>Szkoły miejskie (SP nr 1-21)</t>
        </is>
      </c>
      <c r="F59" s="5">
        <v>53</v>
      </c>
      <c r="G59" s="8">
        <v>0.0754</v>
      </c>
    </row>
    <row r="60" ht="19">
      <c r="A60" s="3">
        <v>2004</v>
      </c>
      <c r="B60" s="3">
        <v>11</v>
      </c>
      <c r="C60" s="3" t="inlineStr">
        <is>
          <t>OBWÓD 11</t>
        </is>
      </c>
      <c r="D60" s="4" t="inlineStr">
        <is>
          <t>SZKOŁA PODSTAWOWA NR 11</t>
        </is>
      </c>
      <c r="E60" s="4" t="inlineStr">
        <is>
          <t>Szkoły miejskie (SP nr 1-21)</t>
        </is>
      </c>
      <c r="F60" s="5">
        <v>17</v>
      </c>
      <c r="G60" s="8">
        <v>0.0242</v>
      </c>
    </row>
    <row r="61" ht="19">
      <c r="A61" s="3">
        <v>2004</v>
      </c>
      <c r="B61" s="3">
        <v>14</v>
      </c>
      <c r="C61" s="3" t="inlineStr">
        <is>
          <t>OBWÓD 14</t>
        </is>
      </c>
      <c r="D61" s="4" t="inlineStr">
        <is>
          <t>SZKOŁA PODSTAWOWA NR 14</t>
        </is>
      </c>
      <c r="E61" s="4" t="inlineStr">
        <is>
          <t>Szkoły miejskie (SP nr 1-21)</t>
        </is>
      </c>
      <c r="F61" s="5">
        <v>15</v>
      </c>
      <c r="G61" s="8">
        <v>0.0213</v>
      </c>
    </row>
    <row r="62" ht="19">
      <c r="A62" s="3">
        <v>2004</v>
      </c>
      <c r="B62" s="3">
        <v>15</v>
      </c>
      <c r="C62" s="3" t="inlineStr">
        <is>
          <t>OBWÓD 15</t>
        </is>
      </c>
      <c r="D62" s="4" t="inlineStr">
        <is>
          <t>SZKOŁA PODSTAWOWA NR 15</t>
        </is>
      </c>
      <c r="E62" s="4" t="inlineStr">
        <is>
          <t>Szkoły miejskie (SP nr 1-21)</t>
        </is>
      </c>
      <c r="F62" s="5">
        <v>52</v>
      </c>
      <c r="G62" s="8">
        <v>0.074</v>
      </c>
    </row>
    <row r="63" ht="19">
      <c r="A63" s="3">
        <v>2004</v>
      </c>
      <c r="B63" s="3">
        <v>16</v>
      </c>
      <c r="C63" s="3" t="inlineStr">
        <is>
          <t>OBWÓD 16</t>
        </is>
      </c>
      <c r="D63" s="4" t="inlineStr">
        <is>
          <t>SZKOŁA PODSTAWOWA NR 16</t>
        </is>
      </c>
      <c r="E63" s="4" t="inlineStr">
        <is>
          <t>Szkoły miejskie (SP nr 1-21)</t>
        </is>
      </c>
      <c r="F63" s="5">
        <v>53</v>
      </c>
      <c r="G63" s="8">
        <v>0.0754</v>
      </c>
    </row>
    <row r="64" ht="19">
      <c r="A64" s="3">
        <v>2004</v>
      </c>
      <c r="B64" s="3">
        <v>17</v>
      </c>
      <c r="C64" s="3" t="inlineStr">
        <is>
          <t>OBWÓD 17</t>
        </is>
      </c>
      <c r="D64" s="4" t="inlineStr">
        <is>
          <t>SZKOŁA PODSTAWOWA NR 17</t>
        </is>
      </c>
      <c r="E64" s="4" t="inlineStr">
        <is>
          <t>Szkoły miejskie (SP nr 1-21)</t>
        </is>
      </c>
      <c r="F64" s="5">
        <v>43</v>
      </c>
      <c r="G64" s="8">
        <v>0.0612</v>
      </c>
    </row>
    <row r="65" ht="19">
      <c r="A65" s="3">
        <v>2004</v>
      </c>
      <c r="B65" s="3">
        <v>18</v>
      </c>
      <c r="C65" s="3" t="inlineStr">
        <is>
          <t>OBWÓD 18</t>
        </is>
      </c>
      <c r="D65" s="4" t="inlineStr">
        <is>
          <t>SZKOŁA PODSTAWOWA NR 18</t>
        </is>
      </c>
      <c r="E65" s="4" t="inlineStr">
        <is>
          <t>Szkoły miejskie (SP nr 1-21)</t>
        </is>
      </c>
      <c r="F65" s="5">
        <v>57</v>
      </c>
      <c r="G65" s="8">
        <v>0.0811</v>
      </c>
    </row>
    <row r="66" ht="19">
      <c r="A66" s="3">
        <v>2004</v>
      </c>
      <c r="B66" s="3">
        <v>20</v>
      </c>
      <c r="C66" s="3" t="inlineStr">
        <is>
          <t>OBWÓD 20</t>
        </is>
      </c>
      <c r="D66" s="4" t="inlineStr">
        <is>
          <t>SZKOŁA PODSTAWOWA NR 20</t>
        </is>
      </c>
      <c r="E66" s="4" t="inlineStr">
        <is>
          <t>Szkoły miejskie (SP nr 1-21)</t>
        </is>
      </c>
      <c r="F66" s="5">
        <v>41</v>
      </c>
      <c r="G66" s="8">
        <v>0.0583</v>
      </c>
    </row>
    <row r="67" ht="19">
      <c r="A67" s="3">
        <v>2004</v>
      </c>
      <c r="B67" s="3">
        <v>21</v>
      </c>
      <c r="C67" s="3" t="inlineStr">
        <is>
          <t>OBWÓD 21</t>
        </is>
      </c>
      <c r="D67" s="4" t="inlineStr">
        <is>
          <t>SZKOŁA PODSTAWOWA NR 21</t>
        </is>
      </c>
      <c r="E67" s="4" t="inlineStr">
        <is>
          <t>Szkoły miejskie (SP nr 1-21)</t>
        </is>
      </c>
      <c r="F67" s="5">
        <v>63</v>
      </c>
      <c r="G67" s="8">
        <v>0.0896</v>
      </c>
    </row>
    <row r="68" ht="19">
      <c r="A68" s="3">
        <v>2004</v>
      </c>
      <c r="B68" s="3">
        <v>22</v>
      </c>
      <c r="C68" s="3" t="inlineStr">
        <is>
          <t>OBWÓD 22</t>
        </is>
      </c>
      <c r="D68" s="4" t="inlineStr">
        <is>
          <t>SZKOŁA PODSTAWOWA W CHEŁMCU</t>
        </is>
      </c>
      <c r="E68" s="4" t="inlineStr">
        <is>
          <t>Obwody podmiejskie (Chełmiec / Piątkowa)</t>
        </is>
      </c>
      <c r="F68" s="5">
        <v>21</v>
      </c>
      <c r="G68" s="8">
        <v>0.0299</v>
      </c>
    </row>
    <row r="69" ht="19">
      <c r="A69" s="3">
        <v>2004</v>
      </c>
      <c r="B69" s="3">
        <v>23</v>
      </c>
      <c r="C69" s="3" t="inlineStr">
        <is>
          <t>OBWÓD 23</t>
        </is>
      </c>
      <c r="D69" s="4" t="inlineStr">
        <is>
          <t>SZKOŁA PODSTAWOWA W PIĄTKOWEJ</t>
        </is>
      </c>
      <c r="E69" s="4" t="inlineStr">
        <is>
          <t>Obwody podmiejskie (Chełmiec / Piątkowa)</t>
        </is>
      </c>
      <c r="F69" s="5">
        <v>15</v>
      </c>
      <c r="G69" s="8">
        <v>0.0213</v>
      </c>
    </row>
    <row r="70" ht="19">
      <c r="A70" s="3">
        <v>2005</v>
      </c>
      <c r="B70" s="3">
        <v>1</v>
      </c>
      <c r="C70" s="3" t="inlineStr">
        <is>
          <t>OBWÓD 1</t>
        </is>
      </c>
      <c r="D70" s="4" t="inlineStr">
        <is>
          <t>SZKOŁA PODSTAWOWA NR 1</t>
        </is>
      </c>
      <c r="E70" s="4" t="inlineStr">
        <is>
          <t>Szkoły miejskie (SP nr 1-21)</t>
        </is>
      </c>
      <c r="F70" s="5">
        <v>43</v>
      </c>
      <c r="G70" s="8">
        <v>0.0511</v>
      </c>
    </row>
    <row r="71" ht="19">
      <c r="A71" s="3">
        <v>2005</v>
      </c>
      <c r="B71" s="3">
        <v>2</v>
      </c>
      <c r="C71" s="3" t="inlineStr">
        <is>
          <t>OBWÓD 2</t>
        </is>
      </c>
      <c r="D71" s="4" t="inlineStr">
        <is>
          <t>SZKOŁA PODSTAWOWA NR 2</t>
        </is>
      </c>
      <c r="E71" s="4" t="inlineStr">
        <is>
          <t>Szkoły miejskie (SP nr 1-21)</t>
        </is>
      </c>
      <c r="F71" s="5">
        <v>47</v>
      </c>
      <c r="G71" s="8">
        <v>0.0559</v>
      </c>
    </row>
    <row r="72" ht="19">
      <c r="A72" s="3">
        <v>2005</v>
      </c>
      <c r="B72" s="3">
        <v>3</v>
      </c>
      <c r="C72" s="3" t="inlineStr">
        <is>
          <t>OBWÓD 3</t>
        </is>
      </c>
      <c r="D72" s="4" t="inlineStr">
        <is>
          <t>SZKOŁA PODSTAWOWA NR 3</t>
        </is>
      </c>
      <c r="E72" s="4" t="inlineStr">
        <is>
          <t>Szkoły miejskie (SP nr 1-21)</t>
        </is>
      </c>
      <c r="F72" s="5">
        <v>80</v>
      </c>
      <c r="G72" s="8">
        <v>0.0951</v>
      </c>
    </row>
    <row r="73" ht="19">
      <c r="A73" s="3">
        <v>2005</v>
      </c>
      <c r="B73" s="3">
        <v>6</v>
      </c>
      <c r="C73" s="3" t="inlineStr">
        <is>
          <t>OBWÓD 6</t>
        </is>
      </c>
      <c r="D73" s="4" t="inlineStr">
        <is>
          <t>SZKOŁA PODSTAWOWA NR 6</t>
        </is>
      </c>
      <c r="E73" s="4" t="inlineStr">
        <is>
          <t>Szkoły miejskie (SP nr 1-21)</t>
        </is>
      </c>
      <c r="F73" s="5">
        <v>14</v>
      </c>
      <c r="G73" s="8">
        <v>0.0166</v>
      </c>
    </row>
    <row r="74" ht="19">
      <c r="A74" s="3">
        <v>2005</v>
      </c>
      <c r="B74" s="3">
        <v>7</v>
      </c>
      <c r="C74" s="3" t="inlineStr">
        <is>
          <t>OBWÓD 7</t>
        </is>
      </c>
      <c r="D74" s="4" t="inlineStr">
        <is>
          <t>SZKOŁA PODSTAWOWA NR 7</t>
        </is>
      </c>
      <c r="E74" s="4" t="inlineStr">
        <is>
          <t>Szkoły miejskie (SP nr 1-21)</t>
        </is>
      </c>
      <c r="F74" s="5">
        <v>60</v>
      </c>
      <c r="G74" s="8">
        <v>0.0713</v>
      </c>
    </row>
    <row r="75" ht="19">
      <c r="A75" s="3">
        <v>2005</v>
      </c>
      <c r="B75" s="3">
        <v>8</v>
      </c>
      <c r="C75" s="3" t="inlineStr">
        <is>
          <t>OBWÓD 8</t>
        </is>
      </c>
      <c r="D75" s="4" t="inlineStr">
        <is>
          <t>SZKOŁA PODSTAWOWA NR 8</t>
        </is>
      </c>
      <c r="E75" s="4" t="inlineStr">
        <is>
          <t>Szkoły miejskie (SP nr 1-21)</t>
        </is>
      </c>
      <c r="F75" s="5">
        <v>71</v>
      </c>
      <c r="G75" s="8">
        <v>0.0844</v>
      </c>
    </row>
    <row r="76" ht="19">
      <c r="A76" s="3">
        <v>2005</v>
      </c>
      <c r="B76" s="3">
        <v>9</v>
      </c>
      <c r="C76" s="3" t="inlineStr">
        <is>
          <t>OBWÓD 9</t>
        </is>
      </c>
      <c r="D76" s="4" t="inlineStr">
        <is>
          <t>SZKOŁA PODSTAWOWA NR 9</t>
        </is>
      </c>
      <c r="E76" s="4" t="inlineStr">
        <is>
          <t>Szkoły miejskie (SP nr 1-21)</t>
        </is>
      </c>
      <c r="F76" s="5">
        <v>67</v>
      </c>
      <c r="G76" s="8">
        <v>0.0797</v>
      </c>
    </row>
    <row r="77" ht="19">
      <c r="A77" s="3">
        <v>2005</v>
      </c>
      <c r="B77" s="3">
        <v>11</v>
      </c>
      <c r="C77" s="3" t="inlineStr">
        <is>
          <t>OBWÓD 11</t>
        </is>
      </c>
      <c r="D77" s="4" t="inlineStr">
        <is>
          <t>SZKOŁA PODSTAWOWA NR 11</t>
        </is>
      </c>
      <c r="E77" s="4" t="inlineStr">
        <is>
          <t>Szkoły miejskie (SP nr 1-21)</t>
        </is>
      </c>
      <c r="F77" s="5">
        <v>18</v>
      </c>
      <c r="G77" s="8">
        <v>0.0214</v>
      </c>
    </row>
    <row r="78" ht="19">
      <c r="A78" s="3">
        <v>2005</v>
      </c>
      <c r="B78" s="3">
        <v>14</v>
      </c>
      <c r="C78" s="3" t="inlineStr">
        <is>
          <t>OBWÓD 14</t>
        </is>
      </c>
      <c r="D78" s="4" t="inlineStr">
        <is>
          <t>SZKOŁA PODSTAWOWA NR 14</t>
        </is>
      </c>
      <c r="E78" s="4" t="inlineStr">
        <is>
          <t>Szkoły miejskie (SP nr 1-21)</t>
        </is>
      </c>
      <c r="F78" s="5">
        <v>16</v>
      </c>
      <c r="G78" s="8">
        <v>0.019</v>
      </c>
    </row>
    <row r="79" ht="19">
      <c r="A79" s="3">
        <v>2005</v>
      </c>
      <c r="B79" s="3">
        <v>15</v>
      </c>
      <c r="C79" s="3" t="inlineStr">
        <is>
          <t>OBWÓD 15</t>
        </is>
      </c>
      <c r="D79" s="4" t="inlineStr">
        <is>
          <t>SZKOŁA PODSTAWOWA NR 15</t>
        </is>
      </c>
      <c r="E79" s="4" t="inlineStr">
        <is>
          <t>Szkoły miejskie (SP nr 1-21)</t>
        </is>
      </c>
      <c r="F79" s="5">
        <v>46</v>
      </c>
      <c r="G79" s="8">
        <v>0.0547</v>
      </c>
    </row>
    <row r="80" ht="19">
      <c r="A80" s="3">
        <v>2005</v>
      </c>
      <c r="B80" s="3">
        <v>16</v>
      </c>
      <c r="C80" s="3" t="inlineStr">
        <is>
          <t>OBWÓD 16</t>
        </is>
      </c>
      <c r="D80" s="4" t="inlineStr">
        <is>
          <t>SZKOŁA PODSTAWOWA NR 16</t>
        </is>
      </c>
      <c r="E80" s="4" t="inlineStr">
        <is>
          <t>Szkoły miejskie (SP nr 1-21)</t>
        </is>
      </c>
      <c r="F80" s="5">
        <v>69</v>
      </c>
      <c r="G80" s="8">
        <v>0.082</v>
      </c>
    </row>
    <row r="81" ht="19">
      <c r="A81" s="3">
        <v>2005</v>
      </c>
      <c r="B81" s="3">
        <v>17</v>
      </c>
      <c r="C81" s="3" t="inlineStr">
        <is>
          <t>OBWÓD 17</t>
        </is>
      </c>
      <c r="D81" s="4" t="inlineStr">
        <is>
          <t>SZKOŁA PODSTAWOWA NR 17</t>
        </is>
      </c>
      <c r="E81" s="4" t="inlineStr">
        <is>
          <t>Szkoły miejskie (SP nr 1-21)</t>
        </is>
      </c>
      <c r="F81" s="5">
        <v>48</v>
      </c>
      <c r="G81" s="8">
        <v>0.0571</v>
      </c>
    </row>
    <row r="82" ht="19">
      <c r="A82" s="3">
        <v>2005</v>
      </c>
      <c r="B82" s="3">
        <v>18</v>
      </c>
      <c r="C82" s="3" t="inlineStr">
        <is>
          <t>OBWÓD 18</t>
        </is>
      </c>
      <c r="D82" s="4" t="inlineStr">
        <is>
          <t>SZKOŁA PODSTAWOWA NR 18</t>
        </is>
      </c>
      <c r="E82" s="4" t="inlineStr">
        <is>
          <t>Szkoły miejskie (SP nr 1-21)</t>
        </is>
      </c>
      <c r="F82" s="5">
        <v>80</v>
      </c>
      <c r="G82" s="8">
        <v>0.0951</v>
      </c>
    </row>
    <row r="83" ht="19">
      <c r="A83" s="3">
        <v>2005</v>
      </c>
      <c r="B83" s="3">
        <v>20</v>
      </c>
      <c r="C83" s="3" t="inlineStr">
        <is>
          <t>OBWÓD 20</t>
        </is>
      </c>
      <c r="D83" s="4" t="inlineStr">
        <is>
          <t>SZKOŁA PODSTAWOWA NR 20</t>
        </is>
      </c>
      <c r="E83" s="4" t="inlineStr">
        <is>
          <t>Szkoły miejskie (SP nr 1-21)</t>
        </is>
      </c>
      <c r="F83" s="5">
        <v>48</v>
      </c>
      <c r="G83" s="8">
        <v>0.0571</v>
      </c>
    </row>
    <row r="84" ht="19">
      <c r="A84" s="3">
        <v>2005</v>
      </c>
      <c r="B84" s="3">
        <v>21</v>
      </c>
      <c r="C84" s="3" t="inlineStr">
        <is>
          <t>OBWÓD 21</t>
        </is>
      </c>
      <c r="D84" s="4" t="inlineStr">
        <is>
          <t>SZKOŁA PODSTAWOWA NR 21</t>
        </is>
      </c>
      <c r="E84" s="4" t="inlineStr">
        <is>
          <t>Szkoły miejskie (SP nr 1-21)</t>
        </is>
      </c>
      <c r="F84" s="5">
        <v>90</v>
      </c>
      <c r="G84" s="8">
        <v>0.107</v>
      </c>
    </row>
    <row r="85" ht="19">
      <c r="A85" s="3">
        <v>2005</v>
      </c>
      <c r="B85" s="3">
        <v>22</v>
      </c>
      <c r="C85" s="3" t="inlineStr">
        <is>
          <t>OBWÓD 22</t>
        </is>
      </c>
      <c r="D85" s="4" t="inlineStr">
        <is>
          <t>SZKOŁA PODSTAWOWA W CHEŁMCU</t>
        </is>
      </c>
      <c r="E85" s="4" t="inlineStr">
        <is>
          <t>Obwody podmiejskie (Chełmiec / Piątkowa)</t>
        </is>
      </c>
      <c r="F85" s="5">
        <v>30</v>
      </c>
      <c r="G85" s="8">
        <v>0.0357</v>
      </c>
    </row>
    <row r="86" ht="19">
      <c r="A86" s="3">
        <v>2005</v>
      </c>
      <c r="B86" s="3">
        <v>23</v>
      </c>
      <c r="C86" s="3" t="inlineStr">
        <is>
          <t>OBWÓD 23</t>
        </is>
      </c>
      <c r="D86" s="4" t="inlineStr">
        <is>
          <t>SZKOŁA PODSTAWOWA W PIĄTKOWEJ</t>
        </is>
      </c>
      <c r="E86" s="4" t="inlineStr">
        <is>
          <t>Obwody podmiejskie (Chełmiec / Piątkowa)</t>
        </is>
      </c>
      <c r="F86" s="5">
        <v>14</v>
      </c>
      <c r="G86" s="8">
        <v>0.0166</v>
      </c>
    </row>
    <row r="87" ht="19">
      <c r="A87" s="3">
        <v>2006</v>
      </c>
      <c r="B87" s="3">
        <v>1</v>
      </c>
      <c r="C87" s="3" t="inlineStr">
        <is>
          <t>OBWÓD 1</t>
        </is>
      </c>
      <c r="D87" s="4" t="inlineStr">
        <is>
          <t>SZKOŁA PODSTAWOWA NR 1</t>
        </is>
      </c>
      <c r="E87" s="4" t="inlineStr">
        <is>
          <t>Szkoły miejskie (SP nr 1-21)</t>
        </is>
      </c>
      <c r="F87" s="5">
        <v>52</v>
      </c>
      <c r="G87" s="8">
        <v>0.0646</v>
      </c>
    </row>
    <row r="88" ht="19">
      <c r="A88" s="3">
        <v>2006</v>
      </c>
      <c r="B88" s="3">
        <v>2</v>
      </c>
      <c r="C88" s="3" t="inlineStr">
        <is>
          <t>OBWÓD 2</t>
        </is>
      </c>
      <c r="D88" s="4" t="inlineStr">
        <is>
          <t>SZKOŁA PODSTAWOWA NR 2</t>
        </is>
      </c>
      <c r="E88" s="4" t="inlineStr">
        <is>
          <t>Szkoły miejskie (SP nr 1-21)</t>
        </is>
      </c>
      <c r="F88" s="5">
        <v>49</v>
      </c>
      <c r="G88" s="8">
        <v>0.0609</v>
      </c>
    </row>
    <row r="89" ht="19">
      <c r="A89" s="3">
        <v>2006</v>
      </c>
      <c r="B89" s="3">
        <v>3</v>
      </c>
      <c r="C89" s="3" t="inlineStr">
        <is>
          <t>OBWÓD 3</t>
        </is>
      </c>
      <c r="D89" s="4" t="inlineStr">
        <is>
          <t>SZKOŁA PODSTAWOWA NR 3</t>
        </is>
      </c>
      <c r="E89" s="4" t="inlineStr">
        <is>
          <t>Szkoły miejskie (SP nr 1-21)</t>
        </is>
      </c>
      <c r="F89" s="5">
        <v>75</v>
      </c>
      <c r="G89" s="8">
        <v>0.0932</v>
      </c>
    </row>
    <row r="90" ht="19">
      <c r="A90" s="3">
        <v>2006</v>
      </c>
      <c r="B90" s="3">
        <v>6</v>
      </c>
      <c r="C90" s="3" t="inlineStr">
        <is>
          <t>OBWÓD 6</t>
        </is>
      </c>
      <c r="D90" s="4" t="inlineStr">
        <is>
          <t>SZKOŁA PODSTAWOWA NR 6</t>
        </is>
      </c>
      <c r="E90" s="4" t="inlineStr">
        <is>
          <t>Szkoły miejskie (SP nr 1-21)</t>
        </is>
      </c>
      <c r="F90" s="5">
        <v>16</v>
      </c>
      <c r="G90" s="8">
        <v>0.0199</v>
      </c>
    </row>
    <row r="91" ht="19">
      <c r="A91" s="3">
        <v>2006</v>
      </c>
      <c r="B91" s="3">
        <v>7</v>
      </c>
      <c r="C91" s="3" t="inlineStr">
        <is>
          <t>OBWÓD 7</t>
        </is>
      </c>
      <c r="D91" s="4" t="inlineStr">
        <is>
          <t>SZKOŁA PODSTAWOWA NR 7</t>
        </is>
      </c>
      <c r="E91" s="4" t="inlineStr">
        <is>
          <t>Szkoły miejskie (SP nr 1-21)</t>
        </is>
      </c>
      <c r="F91" s="5">
        <v>46</v>
      </c>
      <c r="G91" s="8">
        <v>0.0571</v>
      </c>
    </row>
    <row r="92" ht="19">
      <c r="A92" s="3">
        <v>2006</v>
      </c>
      <c r="B92" s="3">
        <v>8</v>
      </c>
      <c r="C92" s="3" t="inlineStr">
        <is>
          <t>OBWÓD 8</t>
        </is>
      </c>
      <c r="D92" s="4" t="inlineStr">
        <is>
          <t>SZKOŁA PODSTAWOWA NR 8</t>
        </is>
      </c>
      <c r="E92" s="4" t="inlineStr">
        <is>
          <t>Szkoły miejskie (SP nr 1-21)</t>
        </is>
      </c>
      <c r="F92" s="5">
        <v>65</v>
      </c>
      <c r="G92" s="8">
        <v>0.0807</v>
      </c>
    </row>
    <row r="93" ht="19">
      <c r="A93" s="3">
        <v>2006</v>
      </c>
      <c r="B93" s="3">
        <v>9</v>
      </c>
      <c r="C93" s="3" t="inlineStr">
        <is>
          <t>OBWÓD 9</t>
        </is>
      </c>
      <c r="D93" s="4" t="inlineStr">
        <is>
          <t>SZKOŁA PODSTAWOWA NR 9</t>
        </is>
      </c>
      <c r="E93" s="4" t="inlineStr">
        <is>
          <t>Szkoły miejskie (SP nr 1-21)</t>
        </is>
      </c>
      <c r="F93" s="5">
        <v>52</v>
      </c>
      <c r="G93" s="8">
        <v>0.0646</v>
      </c>
    </row>
    <row r="94" ht="19">
      <c r="A94" s="3">
        <v>2006</v>
      </c>
      <c r="B94" s="3">
        <v>11</v>
      </c>
      <c r="C94" s="3" t="inlineStr">
        <is>
          <t>OBWÓD 11</t>
        </is>
      </c>
      <c r="D94" s="4" t="inlineStr">
        <is>
          <t>SZKOŁA PODSTAWOWA NR 11</t>
        </is>
      </c>
      <c r="E94" s="4" t="inlineStr">
        <is>
          <t>Szkoły miejskie (SP nr 1-21)</t>
        </is>
      </c>
      <c r="F94" s="5">
        <v>14</v>
      </c>
      <c r="G94" s="8">
        <v>0.0174</v>
      </c>
    </row>
    <row r="95" ht="19">
      <c r="A95" s="3">
        <v>2006</v>
      </c>
      <c r="B95" s="3">
        <v>14</v>
      </c>
      <c r="C95" s="3" t="inlineStr">
        <is>
          <t>OBWÓD 14</t>
        </is>
      </c>
      <c r="D95" s="4" t="inlineStr">
        <is>
          <t>SZKOŁA PODSTAWOWA NR 14</t>
        </is>
      </c>
      <c r="E95" s="4" t="inlineStr">
        <is>
          <t>Szkoły miejskie (SP nr 1-21)</t>
        </is>
      </c>
      <c r="F95" s="5">
        <v>18</v>
      </c>
      <c r="G95" s="8">
        <v>0.0224</v>
      </c>
    </row>
    <row r="96" ht="19">
      <c r="A96" s="3">
        <v>2006</v>
      </c>
      <c r="B96" s="3">
        <v>15</v>
      </c>
      <c r="C96" s="3" t="inlineStr">
        <is>
          <t>OBWÓD 15</t>
        </is>
      </c>
      <c r="D96" s="4" t="inlineStr">
        <is>
          <t>SZKOŁA PODSTAWOWA NR 15</t>
        </is>
      </c>
      <c r="E96" s="4" t="inlineStr">
        <is>
          <t>Szkoły miejskie (SP nr 1-21)</t>
        </is>
      </c>
      <c r="F96" s="5">
        <v>44</v>
      </c>
      <c r="G96" s="8">
        <v>0.0547</v>
      </c>
    </row>
    <row r="97" ht="19">
      <c r="A97" s="3">
        <v>2006</v>
      </c>
      <c r="B97" s="3">
        <v>16</v>
      </c>
      <c r="C97" s="3" t="inlineStr">
        <is>
          <t>OBWÓD 16</t>
        </is>
      </c>
      <c r="D97" s="4" t="inlineStr">
        <is>
          <t>SZKOŁA PODSTAWOWA NR 16</t>
        </is>
      </c>
      <c r="E97" s="4" t="inlineStr">
        <is>
          <t>Szkoły miejskie (SP nr 1-21)</t>
        </is>
      </c>
      <c r="F97" s="5">
        <v>58</v>
      </c>
      <c r="G97" s="8">
        <v>0.072</v>
      </c>
    </row>
    <row r="98" ht="19">
      <c r="A98" s="3">
        <v>2006</v>
      </c>
      <c r="B98" s="3">
        <v>17</v>
      </c>
      <c r="C98" s="3" t="inlineStr">
        <is>
          <t>OBWÓD 17</t>
        </is>
      </c>
      <c r="D98" s="4" t="inlineStr">
        <is>
          <t>SZKOŁA PODSTAWOWA NR 17</t>
        </is>
      </c>
      <c r="E98" s="4" t="inlineStr">
        <is>
          <t>Szkoły miejskie (SP nr 1-21)</t>
        </is>
      </c>
      <c r="F98" s="5">
        <v>38</v>
      </c>
      <c r="G98" s="8">
        <v>0.0472</v>
      </c>
    </row>
    <row r="99" ht="19">
      <c r="A99" s="3">
        <v>2006</v>
      </c>
      <c r="B99" s="3">
        <v>18</v>
      </c>
      <c r="C99" s="3" t="inlineStr">
        <is>
          <t>OBWÓD 18</t>
        </is>
      </c>
      <c r="D99" s="4" t="inlineStr">
        <is>
          <t>SZKOŁA PODSTAWOWA NR 18</t>
        </is>
      </c>
      <c r="E99" s="4" t="inlineStr">
        <is>
          <t>Szkoły miejskie (SP nr 1-21)</t>
        </is>
      </c>
      <c r="F99" s="5">
        <v>81</v>
      </c>
      <c r="G99" s="8">
        <v>0.1006</v>
      </c>
    </row>
    <row r="100" ht="19">
      <c r="A100" s="3">
        <v>2006</v>
      </c>
      <c r="B100" s="3">
        <v>20</v>
      </c>
      <c r="C100" s="3" t="inlineStr">
        <is>
          <t>OBWÓD 20</t>
        </is>
      </c>
      <c r="D100" s="4" t="inlineStr">
        <is>
          <t>SZKOŁA PODSTAWOWA NR 20</t>
        </is>
      </c>
      <c r="E100" s="4" t="inlineStr">
        <is>
          <t>Szkoły miejskie (SP nr 1-21)</t>
        </is>
      </c>
      <c r="F100" s="5">
        <v>68</v>
      </c>
      <c r="G100" s="8">
        <v>0.0845</v>
      </c>
    </row>
    <row r="101" ht="19">
      <c r="A101" s="3">
        <v>2006</v>
      </c>
      <c r="B101" s="3">
        <v>21</v>
      </c>
      <c r="C101" s="3" t="inlineStr">
        <is>
          <t>OBWÓD 21</t>
        </is>
      </c>
      <c r="D101" s="4" t="inlineStr">
        <is>
          <t>SZKOŁA PODSTAWOWA NR 21</t>
        </is>
      </c>
      <c r="E101" s="4" t="inlineStr">
        <is>
          <t>Szkoły miejskie (SP nr 1-21)</t>
        </is>
      </c>
      <c r="F101" s="5">
        <v>88</v>
      </c>
      <c r="G101" s="8">
        <v>0.1093</v>
      </c>
    </row>
    <row r="102" ht="19">
      <c r="A102" s="3">
        <v>2006</v>
      </c>
      <c r="B102" s="3">
        <v>22</v>
      </c>
      <c r="C102" s="3" t="inlineStr">
        <is>
          <t>OBWÓD 22</t>
        </is>
      </c>
      <c r="D102" s="4" t="inlineStr">
        <is>
          <t>SZKOŁA PODSTAWOWA W CHEŁMCU</t>
        </is>
      </c>
      <c r="E102" s="4" t="inlineStr">
        <is>
          <t>Obwody podmiejskie (Chełmiec / Piątkowa)</t>
        </is>
      </c>
      <c r="F102" s="5">
        <v>22</v>
      </c>
      <c r="G102" s="8">
        <v>0.0273</v>
      </c>
    </row>
    <row r="103" ht="19">
      <c r="A103" s="3">
        <v>2006</v>
      </c>
      <c r="B103" s="3">
        <v>23</v>
      </c>
      <c r="C103" s="3" t="inlineStr">
        <is>
          <t>OBWÓD 23</t>
        </is>
      </c>
      <c r="D103" s="4" t="inlineStr">
        <is>
          <t>SZKOŁA PODSTAWOWA W PIĄTKOWEJ</t>
        </is>
      </c>
      <c r="E103" s="4" t="inlineStr">
        <is>
          <t>Obwody podmiejskie (Chełmiec / Piątkowa)</t>
        </is>
      </c>
      <c r="F103" s="5">
        <v>19</v>
      </c>
      <c r="G103" s="8">
        <v>0.0236</v>
      </c>
    </row>
    <row r="104" ht="19">
      <c r="A104" s="3">
        <v>2007</v>
      </c>
      <c r="B104" s="3">
        <v>1</v>
      </c>
      <c r="C104" s="3" t="inlineStr">
        <is>
          <t>OBWÓD 1</t>
        </is>
      </c>
      <c r="D104" s="4" t="inlineStr">
        <is>
          <t>SZKOŁA PODSTAWOWA NR 1</t>
        </is>
      </c>
      <c r="E104" s="4" t="inlineStr">
        <is>
          <t>Szkoły miejskie (SP nr 1-21)</t>
        </is>
      </c>
      <c r="F104" s="5">
        <v>55</v>
      </c>
      <c r="G104" s="8">
        <v>0.064</v>
      </c>
    </row>
    <row r="105" ht="19">
      <c r="A105" s="3">
        <v>2007</v>
      </c>
      <c r="B105" s="3">
        <v>2</v>
      </c>
      <c r="C105" s="3" t="inlineStr">
        <is>
          <t>OBWÓD 2</t>
        </is>
      </c>
      <c r="D105" s="4" t="inlineStr">
        <is>
          <t>SZKOŁA PODSTAWOWA NR 2</t>
        </is>
      </c>
      <c r="E105" s="4" t="inlineStr">
        <is>
          <t>Szkoły miejskie (SP nr 1-21)</t>
        </is>
      </c>
      <c r="F105" s="5">
        <v>46</v>
      </c>
      <c r="G105" s="8">
        <v>0.0535</v>
      </c>
    </row>
    <row r="106" ht="19">
      <c r="A106" s="3">
        <v>2007</v>
      </c>
      <c r="B106" s="3">
        <v>3</v>
      </c>
      <c r="C106" s="3" t="inlineStr">
        <is>
          <t>OBWÓD 3</t>
        </is>
      </c>
      <c r="D106" s="4" t="inlineStr">
        <is>
          <t>SZKOŁA PODSTAWOWA NR 3</t>
        </is>
      </c>
      <c r="E106" s="4" t="inlineStr">
        <is>
          <t>Szkoły miejskie (SP nr 1-21)</t>
        </is>
      </c>
      <c r="F106" s="5">
        <v>82</v>
      </c>
      <c r="G106" s="8">
        <v>0.0953</v>
      </c>
    </row>
    <row r="107" ht="19">
      <c r="A107" s="3">
        <v>2007</v>
      </c>
      <c r="B107" s="3">
        <v>6</v>
      </c>
      <c r="C107" s="3" t="inlineStr">
        <is>
          <t>OBWÓD 6</t>
        </is>
      </c>
      <c r="D107" s="4" t="inlineStr">
        <is>
          <t>SZKOŁA PODSTAWOWA NR 6</t>
        </is>
      </c>
      <c r="E107" s="4" t="inlineStr">
        <is>
          <t>Szkoły miejskie (SP nr 1-21)</t>
        </is>
      </c>
      <c r="F107" s="5">
        <v>17</v>
      </c>
      <c r="G107" s="8">
        <v>0.0198</v>
      </c>
    </row>
    <row r="108" ht="19">
      <c r="A108" s="3">
        <v>2007</v>
      </c>
      <c r="B108" s="3">
        <v>7</v>
      </c>
      <c r="C108" s="3" t="inlineStr">
        <is>
          <t>OBWÓD 7</t>
        </is>
      </c>
      <c r="D108" s="4" t="inlineStr">
        <is>
          <t>SZKOŁA PODSTAWOWA NR 7</t>
        </is>
      </c>
      <c r="E108" s="4" t="inlineStr">
        <is>
          <t>Szkoły miejskie (SP nr 1-21)</t>
        </is>
      </c>
      <c r="F108" s="5">
        <v>40</v>
      </c>
      <c r="G108" s="8">
        <v>0.0465</v>
      </c>
    </row>
    <row r="109" ht="19">
      <c r="A109" s="3">
        <v>2007</v>
      </c>
      <c r="B109" s="3">
        <v>8</v>
      </c>
      <c r="C109" s="3" t="inlineStr">
        <is>
          <t>OBWÓD 8</t>
        </is>
      </c>
      <c r="D109" s="4" t="inlineStr">
        <is>
          <t>SZKOŁA PODSTAWOWA NR 8</t>
        </is>
      </c>
      <c r="E109" s="4" t="inlineStr">
        <is>
          <t>Szkoły miejskie (SP nr 1-21)</t>
        </is>
      </c>
      <c r="F109" s="5">
        <v>69</v>
      </c>
      <c r="G109" s="8">
        <v>0.0802</v>
      </c>
    </row>
    <row r="110" ht="19">
      <c r="A110" s="3">
        <v>2007</v>
      </c>
      <c r="B110" s="3">
        <v>9</v>
      </c>
      <c r="C110" s="3" t="inlineStr">
        <is>
          <t>OBWÓD 9</t>
        </is>
      </c>
      <c r="D110" s="4" t="inlineStr">
        <is>
          <t>SZKOŁA PODSTAWOWA NR 9</t>
        </is>
      </c>
      <c r="E110" s="4" t="inlineStr">
        <is>
          <t>Szkoły miejskie (SP nr 1-21)</t>
        </is>
      </c>
      <c r="F110" s="5">
        <v>82</v>
      </c>
      <c r="G110" s="8">
        <v>0.0953</v>
      </c>
    </row>
    <row r="111" ht="19">
      <c r="A111" s="3">
        <v>2007</v>
      </c>
      <c r="B111" s="3">
        <v>11</v>
      </c>
      <c r="C111" s="3" t="inlineStr">
        <is>
          <t>OBWÓD 11</t>
        </is>
      </c>
      <c r="D111" s="4" t="inlineStr">
        <is>
          <t>SZKOŁA PODSTAWOWA NR 11</t>
        </is>
      </c>
      <c r="E111" s="4" t="inlineStr">
        <is>
          <t>Szkoły miejskie (SP nr 1-21)</t>
        </is>
      </c>
      <c r="F111" s="5">
        <v>14</v>
      </c>
      <c r="G111" s="8">
        <v>0.0163</v>
      </c>
    </row>
    <row r="112" ht="19">
      <c r="A112" s="3">
        <v>2007</v>
      </c>
      <c r="B112" s="3">
        <v>14</v>
      </c>
      <c r="C112" s="3" t="inlineStr">
        <is>
          <t>OBWÓD 14</t>
        </is>
      </c>
      <c r="D112" s="4" t="inlineStr">
        <is>
          <t>SZKOŁA PODSTAWOWA NR 14</t>
        </is>
      </c>
      <c r="E112" s="4" t="inlineStr">
        <is>
          <t>Szkoły miejskie (SP nr 1-21)</t>
        </is>
      </c>
      <c r="F112" s="5">
        <v>18</v>
      </c>
      <c r="G112" s="8">
        <v>0.0209</v>
      </c>
    </row>
    <row r="113" ht="19">
      <c r="A113" s="3">
        <v>2007</v>
      </c>
      <c r="B113" s="3">
        <v>15</v>
      </c>
      <c r="C113" s="3" t="inlineStr">
        <is>
          <t>OBWÓD 15</t>
        </is>
      </c>
      <c r="D113" s="4" t="inlineStr">
        <is>
          <t>SZKOŁA PODSTAWOWA NR 15</t>
        </is>
      </c>
      <c r="E113" s="4" t="inlineStr">
        <is>
          <t>Szkoły miejskie (SP nr 1-21)</t>
        </is>
      </c>
      <c r="F113" s="5">
        <v>43</v>
      </c>
      <c r="G113" s="8">
        <v>0.05</v>
      </c>
    </row>
    <row r="114" ht="19">
      <c r="A114" s="3">
        <v>2007</v>
      </c>
      <c r="B114" s="3">
        <v>16</v>
      </c>
      <c r="C114" s="3" t="inlineStr">
        <is>
          <t>OBWÓD 16</t>
        </is>
      </c>
      <c r="D114" s="4" t="inlineStr">
        <is>
          <t>SZKOŁA PODSTAWOWA NR 16</t>
        </is>
      </c>
      <c r="E114" s="4" t="inlineStr">
        <is>
          <t>Szkoły miejskie (SP nr 1-21)</t>
        </is>
      </c>
      <c r="F114" s="5">
        <v>80</v>
      </c>
      <c r="G114" s="8">
        <v>0.093</v>
      </c>
    </row>
    <row r="115" ht="19">
      <c r="A115" s="3">
        <v>2007</v>
      </c>
      <c r="B115" s="3">
        <v>17</v>
      </c>
      <c r="C115" s="3" t="inlineStr">
        <is>
          <t>OBWÓD 17</t>
        </is>
      </c>
      <c r="D115" s="4" t="inlineStr">
        <is>
          <t>SZKOŁA PODSTAWOWA NR 17</t>
        </is>
      </c>
      <c r="E115" s="4" t="inlineStr">
        <is>
          <t>Szkoły miejskie (SP nr 1-21)</t>
        </is>
      </c>
      <c r="F115" s="5">
        <v>40</v>
      </c>
      <c r="G115" s="8">
        <v>0.0465</v>
      </c>
    </row>
    <row r="116" ht="19">
      <c r="A116" s="3">
        <v>2007</v>
      </c>
      <c r="B116" s="3">
        <v>18</v>
      </c>
      <c r="C116" s="3" t="inlineStr">
        <is>
          <t>OBWÓD 18</t>
        </is>
      </c>
      <c r="D116" s="4" t="inlineStr">
        <is>
          <t>SZKOŁA PODSTAWOWA NR 18</t>
        </is>
      </c>
      <c r="E116" s="4" t="inlineStr">
        <is>
          <t>Szkoły miejskie (SP nr 1-21)</t>
        </is>
      </c>
      <c r="F116" s="5">
        <v>64</v>
      </c>
      <c r="G116" s="8">
        <v>0.0744</v>
      </c>
    </row>
    <row r="117" ht="19">
      <c r="A117" s="3">
        <v>2007</v>
      </c>
      <c r="B117" s="3">
        <v>20</v>
      </c>
      <c r="C117" s="3" t="inlineStr">
        <is>
          <t>OBWÓD 20</t>
        </is>
      </c>
      <c r="D117" s="4" t="inlineStr">
        <is>
          <t>SZKOŁA PODSTAWOWA NR 20</t>
        </is>
      </c>
      <c r="E117" s="4" t="inlineStr">
        <is>
          <t>Szkoły miejskie (SP nr 1-21)</t>
        </is>
      </c>
      <c r="F117" s="5">
        <v>44</v>
      </c>
      <c r="G117" s="8">
        <v>0.0512</v>
      </c>
    </row>
    <row r="118" ht="19">
      <c r="A118" s="3">
        <v>2007</v>
      </c>
      <c r="B118" s="3">
        <v>21</v>
      </c>
      <c r="C118" s="3" t="inlineStr">
        <is>
          <t>OBWÓD 21</t>
        </is>
      </c>
      <c r="D118" s="4" t="inlineStr">
        <is>
          <t>SZKOŁA PODSTAWOWA NR 21</t>
        </is>
      </c>
      <c r="E118" s="4" t="inlineStr">
        <is>
          <t>Szkoły miejskie (SP nr 1-21)</t>
        </is>
      </c>
      <c r="F118" s="5">
        <v>110</v>
      </c>
      <c r="G118" s="8">
        <v>0.1279</v>
      </c>
    </row>
    <row r="119" ht="19">
      <c r="A119" s="3">
        <v>2007</v>
      </c>
      <c r="B119" s="3">
        <v>22</v>
      </c>
      <c r="C119" s="3" t="inlineStr">
        <is>
          <t>OBWÓD 22</t>
        </is>
      </c>
      <c r="D119" s="4" t="inlineStr">
        <is>
          <t>SZKOŁA PODSTAWOWA W CHEŁMCU</t>
        </is>
      </c>
      <c r="E119" s="4" t="inlineStr">
        <is>
          <t>Obwody podmiejskie (Chełmiec / Piątkowa)</t>
        </is>
      </c>
      <c r="F119" s="5">
        <v>33</v>
      </c>
      <c r="G119" s="8">
        <v>0.0384</v>
      </c>
    </row>
    <row r="120" ht="19">
      <c r="A120" s="3">
        <v>2007</v>
      </c>
      <c r="B120" s="3">
        <v>23</v>
      </c>
      <c r="C120" s="3" t="inlineStr">
        <is>
          <t>OBWÓD 23</t>
        </is>
      </c>
      <c r="D120" s="4" t="inlineStr">
        <is>
          <t>SZKOŁA PODSTAWOWA W PIĄTKOWEJ</t>
        </is>
      </c>
      <c r="E120" s="4" t="inlineStr">
        <is>
          <t>Obwody podmiejskie (Chełmiec / Piątkowa)</t>
        </is>
      </c>
      <c r="F120" s="5">
        <v>23</v>
      </c>
      <c r="G120" s="8">
        <v>0.0267</v>
      </c>
    </row>
    <row r="121" ht="19">
      <c r="A121" s="3">
        <v>2008</v>
      </c>
      <c r="B121" s="3">
        <v>1</v>
      </c>
      <c r="C121" s="3" t="inlineStr">
        <is>
          <t>OBWÓD 1</t>
        </is>
      </c>
      <c r="D121" s="4" t="inlineStr">
        <is>
          <t>SZKOŁA PODSTAWOWA NR 1</t>
        </is>
      </c>
      <c r="E121" s="4" t="inlineStr">
        <is>
          <t>Szkoły miejskie (SP nr 1-21)</t>
        </is>
      </c>
      <c r="F121" s="5">
        <v>70</v>
      </c>
      <c r="G121" s="8">
        <v>0.0705</v>
      </c>
    </row>
    <row r="122" ht="19">
      <c r="A122" s="3">
        <v>2008</v>
      </c>
      <c r="B122" s="3">
        <v>2</v>
      </c>
      <c r="C122" s="3" t="inlineStr">
        <is>
          <t>OBWÓD 2</t>
        </is>
      </c>
      <c r="D122" s="4" t="inlineStr">
        <is>
          <t>SZKOŁA PODSTAWOWA NR 2</t>
        </is>
      </c>
      <c r="E122" s="4" t="inlineStr">
        <is>
          <t>Szkoły miejskie (SP nr 1-21)</t>
        </is>
      </c>
      <c r="F122" s="5">
        <v>54</v>
      </c>
      <c r="G122" s="8">
        <v>0.0544</v>
      </c>
    </row>
    <row r="123" ht="19">
      <c r="A123" s="3">
        <v>2008</v>
      </c>
      <c r="B123" s="3">
        <v>3</v>
      </c>
      <c r="C123" s="3" t="inlineStr">
        <is>
          <t>OBWÓD 3</t>
        </is>
      </c>
      <c r="D123" s="4" t="inlineStr">
        <is>
          <t>SZKOŁA PODSTAWOWA NR 3</t>
        </is>
      </c>
      <c r="E123" s="4" t="inlineStr">
        <is>
          <t>Szkoły miejskie (SP nr 1-21)</t>
        </is>
      </c>
      <c r="F123" s="5">
        <v>85</v>
      </c>
      <c r="G123" s="8">
        <v>0.0856</v>
      </c>
    </row>
    <row r="124" ht="19">
      <c r="A124" s="3">
        <v>2008</v>
      </c>
      <c r="B124" s="3">
        <v>6</v>
      </c>
      <c r="C124" s="3" t="inlineStr">
        <is>
          <t>OBWÓD 6</t>
        </is>
      </c>
      <c r="D124" s="4" t="inlineStr">
        <is>
          <t>SZKOŁA PODSTAWOWA NR 6</t>
        </is>
      </c>
      <c r="E124" s="4" t="inlineStr">
        <is>
          <t>Szkoły miejskie (SP nr 1-21)</t>
        </is>
      </c>
      <c r="F124" s="5">
        <v>23</v>
      </c>
      <c r="G124" s="8">
        <v>0.0232</v>
      </c>
    </row>
    <row r="125" ht="19">
      <c r="A125" s="3">
        <v>2008</v>
      </c>
      <c r="B125" s="3">
        <v>7</v>
      </c>
      <c r="C125" s="3" t="inlineStr">
        <is>
          <t>OBWÓD 7</t>
        </is>
      </c>
      <c r="D125" s="4" t="inlineStr">
        <is>
          <t>SZKOŁA PODSTAWOWA NR 7</t>
        </is>
      </c>
      <c r="E125" s="4" t="inlineStr">
        <is>
          <t>Szkoły miejskie (SP nr 1-21)</t>
        </is>
      </c>
      <c r="F125" s="5">
        <v>54</v>
      </c>
      <c r="G125" s="8">
        <v>0.0544</v>
      </c>
    </row>
    <row r="126" ht="19">
      <c r="A126" s="3">
        <v>2008</v>
      </c>
      <c r="B126" s="3">
        <v>8</v>
      </c>
      <c r="C126" s="3" t="inlineStr">
        <is>
          <t>OBWÓD 8</t>
        </is>
      </c>
      <c r="D126" s="4" t="inlineStr">
        <is>
          <t>SZKOŁA PODSTAWOWA NR 8</t>
        </is>
      </c>
      <c r="E126" s="4" t="inlineStr">
        <is>
          <t>Szkoły miejskie (SP nr 1-21)</t>
        </is>
      </c>
      <c r="F126" s="5">
        <v>65</v>
      </c>
      <c r="G126" s="8">
        <v>0.0655</v>
      </c>
    </row>
    <row r="127" ht="19">
      <c r="A127" s="3">
        <v>2008</v>
      </c>
      <c r="B127" s="3">
        <v>9</v>
      </c>
      <c r="C127" s="3" t="inlineStr">
        <is>
          <t>OBWÓD 9</t>
        </is>
      </c>
      <c r="D127" s="4" t="inlineStr">
        <is>
          <t>SZKOŁA PODSTAWOWA NR 9</t>
        </is>
      </c>
      <c r="E127" s="4" t="inlineStr">
        <is>
          <t>Szkoły miejskie (SP nr 1-21)</t>
        </is>
      </c>
      <c r="F127" s="5">
        <v>80</v>
      </c>
      <c r="G127" s="8">
        <v>0.0806</v>
      </c>
    </row>
    <row r="128" ht="19">
      <c r="A128" s="3">
        <v>2008</v>
      </c>
      <c r="B128" s="3">
        <v>11</v>
      </c>
      <c r="C128" s="3" t="inlineStr">
        <is>
          <t>OBWÓD 11</t>
        </is>
      </c>
      <c r="D128" s="4" t="inlineStr">
        <is>
          <t>SZKOŁA PODSTAWOWA NR 11</t>
        </is>
      </c>
      <c r="E128" s="4" t="inlineStr">
        <is>
          <t>Szkoły miejskie (SP nr 1-21)</t>
        </is>
      </c>
      <c r="F128" s="5">
        <v>23</v>
      </c>
      <c r="G128" s="8">
        <v>0.0232</v>
      </c>
    </row>
    <row r="129" ht="19">
      <c r="A129" s="3">
        <v>2008</v>
      </c>
      <c r="B129" s="3">
        <v>14</v>
      </c>
      <c r="C129" s="3" t="inlineStr">
        <is>
          <t>OBWÓD 14</t>
        </is>
      </c>
      <c r="D129" s="4" t="inlineStr">
        <is>
          <t>SZKOŁA PODSTAWOWA NR 14</t>
        </is>
      </c>
      <c r="E129" s="4" t="inlineStr">
        <is>
          <t>Szkoły miejskie (SP nr 1-21)</t>
        </is>
      </c>
      <c r="F129" s="5">
        <v>29</v>
      </c>
      <c r="G129" s="8">
        <v>0.0292</v>
      </c>
    </row>
    <row r="130" ht="19">
      <c r="A130" s="3">
        <v>2008</v>
      </c>
      <c r="B130" s="3">
        <v>15</v>
      </c>
      <c r="C130" s="3" t="inlineStr">
        <is>
          <t>OBWÓD 15</t>
        </is>
      </c>
      <c r="D130" s="4" t="inlineStr">
        <is>
          <t>SZKOŁA PODSTAWOWA NR 15</t>
        </is>
      </c>
      <c r="E130" s="4" t="inlineStr">
        <is>
          <t>Szkoły miejskie (SP nr 1-21)</t>
        </is>
      </c>
      <c r="F130" s="5">
        <v>58</v>
      </c>
      <c r="G130" s="8">
        <v>0.0584</v>
      </c>
    </row>
    <row r="131" ht="19">
      <c r="A131" s="3">
        <v>2008</v>
      </c>
      <c r="B131" s="3">
        <v>16</v>
      </c>
      <c r="C131" s="3" t="inlineStr">
        <is>
          <t>OBWÓD 16</t>
        </is>
      </c>
      <c r="D131" s="4" t="inlineStr">
        <is>
          <t>SZKOŁA PODSTAWOWA NR 16</t>
        </is>
      </c>
      <c r="E131" s="4" t="inlineStr">
        <is>
          <t>Szkoły miejskie (SP nr 1-21)</t>
        </is>
      </c>
      <c r="F131" s="5">
        <v>75</v>
      </c>
      <c r="G131" s="8">
        <v>0.0755</v>
      </c>
    </row>
    <row r="132" ht="19">
      <c r="A132" s="3">
        <v>2008</v>
      </c>
      <c r="B132" s="3">
        <v>17</v>
      </c>
      <c r="C132" s="3" t="inlineStr">
        <is>
          <t>OBWÓD 17</t>
        </is>
      </c>
      <c r="D132" s="4" t="inlineStr">
        <is>
          <t>SZKOŁA PODSTAWOWA NR 17</t>
        </is>
      </c>
      <c r="E132" s="4" t="inlineStr">
        <is>
          <t>Szkoły miejskie (SP nr 1-21)</t>
        </is>
      </c>
      <c r="F132" s="5">
        <v>41</v>
      </c>
      <c r="G132" s="8">
        <v>0.0413</v>
      </c>
    </row>
    <row r="133" ht="19">
      <c r="A133" s="3">
        <v>2008</v>
      </c>
      <c r="B133" s="3">
        <v>18</v>
      </c>
      <c r="C133" s="3" t="inlineStr">
        <is>
          <t>OBWÓD 18</t>
        </is>
      </c>
      <c r="D133" s="4" t="inlineStr">
        <is>
          <t>SZKOŁA PODSTAWOWA NR 18</t>
        </is>
      </c>
      <c r="E133" s="4" t="inlineStr">
        <is>
          <t>Szkoły miejskie (SP nr 1-21)</t>
        </is>
      </c>
      <c r="F133" s="5">
        <v>89</v>
      </c>
      <c r="G133" s="8">
        <v>0.0896</v>
      </c>
    </row>
    <row r="134" ht="19">
      <c r="A134" s="3">
        <v>2008</v>
      </c>
      <c r="B134" s="3">
        <v>20</v>
      </c>
      <c r="C134" s="3" t="inlineStr">
        <is>
          <t>OBWÓD 20</t>
        </is>
      </c>
      <c r="D134" s="4" t="inlineStr">
        <is>
          <t>SZKOŁA PODSTAWOWA NR 20</t>
        </is>
      </c>
      <c r="E134" s="4" t="inlineStr">
        <is>
          <t>Szkoły miejskie (SP nr 1-21)</t>
        </is>
      </c>
      <c r="F134" s="5">
        <v>67</v>
      </c>
      <c r="G134" s="8">
        <v>0.0675</v>
      </c>
    </row>
    <row r="135" ht="19">
      <c r="A135" s="3">
        <v>2008</v>
      </c>
      <c r="B135" s="3">
        <v>21</v>
      </c>
      <c r="C135" s="3" t="inlineStr">
        <is>
          <t>OBWÓD 21</t>
        </is>
      </c>
      <c r="D135" s="4" t="inlineStr">
        <is>
          <t>SZKOŁA PODSTAWOWA NR 21</t>
        </is>
      </c>
      <c r="E135" s="4" t="inlineStr">
        <is>
          <t>Szkoły miejskie (SP nr 1-21)</t>
        </is>
      </c>
      <c r="F135" s="5">
        <v>123</v>
      </c>
      <c r="G135" s="8">
        <v>0.1239</v>
      </c>
    </row>
    <row r="136" ht="19">
      <c r="A136" s="3">
        <v>2008</v>
      </c>
      <c r="B136" s="3">
        <v>22</v>
      </c>
      <c r="C136" s="3" t="inlineStr">
        <is>
          <t>OBWÓD 22</t>
        </is>
      </c>
      <c r="D136" s="4" t="inlineStr">
        <is>
          <t>SZKOŁA PODSTAWOWA W CHEŁMCU</t>
        </is>
      </c>
      <c r="E136" s="4" t="inlineStr">
        <is>
          <t>Obwody podmiejskie (Chełmiec / Piątkowa)</t>
        </is>
      </c>
      <c r="F136" s="5">
        <v>28</v>
      </c>
      <c r="G136" s="8">
        <v>0.0282</v>
      </c>
    </row>
    <row r="137" ht="19">
      <c r="A137" s="3">
        <v>2008</v>
      </c>
      <c r="B137" s="3">
        <v>23</v>
      </c>
      <c r="C137" s="3" t="inlineStr">
        <is>
          <t>OBWÓD 23</t>
        </is>
      </c>
      <c r="D137" s="4" t="inlineStr">
        <is>
          <t>SZKOŁA PODSTAWOWA W PIĄTKOWEJ</t>
        </is>
      </c>
      <c r="E137" s="4" t="inlineStr">
        <is>
          <t>Obwody podmiejskie (Chełmiec / Piątkowa)</t>
        </is>
      </c>
      <c r="F137" s="5">
        <v>29</v>
      </c>
      <c r="G137" s="8">
        <v>0.0292</v>
      </c>
    </row>
    <row r="138" ht="19">
      <c r="A138" s="3">
        <v>2009</v>
      </c>
      <c r="B138" s="3">
        <v>1</v>
      </c>
      <c r="C138" s="3" t="inlineStr">
        <is>
          <t>OBWÓD 1</t>
        </is>
      </c>
      <c r="D138" s="4" t="inlineStr">
        <is>
          <t>SZKOŁA PODSTAWOWA NR 1</t>
        </is>
      </c>
      <c r="E138" s="4" t="inlineStr">
        <is>
          <t>Szkoły miejskie (SP nr 1-21)</t>
        </is>
      </c>
      <c r="F138" s="5">
        <v>113</v>
      </c>
      <c r="G138" s="8">
        <v>0.1141</v>
      </c>
    </row>
    <row r="139" ht="19">
      <c r="A139" s="3">
        <v>2009</v>
      </c>
      <c r="B139" s="3">
        <v>2</v>
      </c>
      <c r="C139" s="3" t="inlineStr">
        <is>
          <t>OBWÓD 2</t>
        </is>
      </c>
      <c r="D139" s="4" t="inlineStr">
        <is>
          <t>SZKOŁA PODSTAWOWA NR 2</t>
        </is>
      </c>
      <c r="E139" s="4" t="inlineStr">
        <is>
          <t>Szkoły miejskie (SP nr 1-21)</t>
        </is>
      </c>
      <c r="F139" s="5">
        <v>44</v>
      </c>
      <c r="G139" s="8">
        <v>0.0444</v>
      </c>
    </row>
    <row r="140" ht="19">
      <c r="A140" s="3">
        <v>2009</v>
      </c>
      <c r="B140" s="3">
        <v>3</v>
      </c>
      <c r="C140" s="3" t="inlineStr">
        <is>
          <t>OBWÓD 3</t>
        </is>
      </c>
      <c r="D140" s="4" t="inlineStr">
        <is>
          <t>SZKOŁA PODSTAWOWA NR 3</t>
        </is>
      </c>
      <c r="E140" s="4" t="inlineStr">
        <is>
          <t>Szkoły miejskie (SP nr 1-21)</t>
        </is>
      </c>
      <c r="F140" s="5">
        <v>85</v>
      </c>
      <c r="G140" s="8">
        <v>0.0859</v>
      </c>
    </row>
    <row r="141" ht="19">
      <c r="A141" s="3">
        <v>2009</v>
      </c>
      <c r="B141" s="3">
        <v>6</v>
      </c>
      <c r="C141" s="3" t="inlineStr">
        <is>
          <t>OBWÓD 6</t>
        </is>
      </c>
      <c r="D141" s="4" t="inlineStr">
        <is>
          <t>SZKOŁA PODSTAWOWA NR 6</t>
        </is>
      </c>
      <c r="E141" s="4" t="inlineStr">
        <is>
          <t>Szkoły miejskie (SP nr 1-21)</t>
        </is>
      </c>
      <c r="F141" s="5">
        <v>18</v>
      </c>
      <c r="G141" s="8">
        <v>0.0182</v>
      </c>
    </row>
    <row r="142" ht="19">
      <c r="A142" s="3">
        <v>2009</v>
      </c>
      <c r="B142" s="3">
        <v>7</v>
      </c>
      <c r="C142" s="3" t="inlineStr">
        <is>
          <t>OBWÓD 7</t>
        </is>
      </c>
      <c r="D142" s="4" t="inlineStr">
        <is>
          <t>SZKOŁA PODSTAWOWA NR 7</t>
        </is>
      </c>
      <c r="E142" s="4" t="inlineStr">
        <is>
          <t>Szkoły miejskie (SP nr 1-21)</t>
        </is>
      </c>
      <c r="F142" s="5">
        <v>52</v>
      </c>
      <c r="G142" s="8">
        <v>0.0525</v>
      </c>
    </row>
    <row r="143" ht="19">
      <c r="A143" s="3">
        <v>2009</v>
      </c>
      <c r="B143" s="3">
        <v>8</v>
      </c>
      <c r="C143" s="3" t="inlineStr">
        <is>
          <t>OBWÓD 8</t>
        </is>
      </c>
      <c r="D143" s="4" t="inlineStr">
        <is>
          <t>SZKOŁA PODSTAWOWA NR 8</t>
        </is>
      </c>
      <c r="E143" s="4" t="inlineStr">
        <is>
          <t>Szkoły miejskie (SP nr 1-21)</t>
        </is>
      </c>
      <c r="F143" s="5">
        <v>77</v>
      </c>
      <c r="G143" s="8">
        <v>0.0778</v>
      </c>
    </row>
    <row r="144" ht="19">
      <c r="A144" s="3">
        <v>2009</v>
      </c>
      <c r="B144" s="3">
        <v>9</v>
      </c>
      <c r="C144" s="3" t="inlineStr">
        <is>
          <t>OBWÓD 9</t>
        </is>
      </c>
      <c r="D144" s="4" t="inlineStr">
        <is>
          <t>SZKOŁA PODSTAWOWA NR 9</t>
        </is>
      </c>
      <c r="E144" s="4" t="inlineStr">
        <is>
          <t>Szkoły miejskie (SP nr 1-21)</t>
        </is>
      </c>
      <c r="F144" s="5">
        <v>76</v>
      </c>
      <c r="G144" s="8">
        <v>0.0768</v>
      </c>
    </row>
    <row r="145" ht="19">
      <c r="A145" s="3">
        <v>2009</v>
      </c>
      <c r="B145" s="3">
        <v>11</v>
      </c>
      <c r="C145" s="3" t="inlineStr">
        <is>
          <t>OBWÓD 11</t>
        </is>
      </c>
      <c r="D145" s="4" t="inlineStr">
        <is>
          <t>SZKOŁA PODSTAWOWA NR 11</t>
        </is>
      </c>
      <c r="E145" s="4" t="inlineStr">
        <is>
          <t>Szkoły miejskie (SP nr 1-21)</t>
        </is>
      </c>
      <c r="F145" s="5">
        <v>24</v>
      </c>
      <c r="G145" s="8">
        <v>0.0242</v>
      </c>
    </row>
    <row r="146" ht="19">
      <c r="A146" s="3">
        <v>2009</v>
      </c>
      <c r="B146" s="3">
        <v>14</v>
      </c>
      <c r="C146" s="3" t="inlineStr">
        <is>
          <t>OBWÓD 14</t>
        </is>
      </c>
      <c r="D146" s="4" t="inlineStr">
        <is>
          <t>SZKOŁA PODSTAWOWA NR 14</t>
        </is>
      </c>
      <c r="E146" s="4" t="inlineStr">
        <is>
          <t>Szkoły miejskie (SP nr 1-21)</t>
        </is>
      </c>
      <c r="F146" s="5">
        <v>10</v>
      </c>
      <c r="G146" s="8">
        <v>0.0101</v>
      </c>
    </row>
    <row r="147" ht="19">
      <c r="A147" s="3">
        <v>2009</v>
      </c>
      <c r="B147" s="3">
        <v>15</v>
      </c>
      <c r="C147" s="3" t="inlineStr">
        <is>
          <t>OBWÓD 15</t>
        </is>
      </c>
      <c r="D147" s="4" t="inlineStr">
        <is>
          <t>SZKOŁA PODSTAWOWA NR 15</t>
        </is>
      </c>
      <c r="E147" s="4" t="inlineStr">
        <is>
          <t>Szkoły miejskie (SP nr 1-21)</t>
        </is>
      </c>
      <c r="F147" s="5">
        <v>51</v>
      </c>
      <c r="G147" s="8">
        <v>0.0515</v>
      </c>
    </row>
    <row r="148" ht="19">
      <c r="A148" s="3">
        <v>2009</v>
      </c>
      <c r="B148" s="3">
        <v>16</v>
      </c>
      <c r="C148" s="3" t="inlineStr">
        <is>
          <t>OBWÓD 16</t>
        </is>
      </c>
      <c r="D148" s="4" t="inlineStr">
        <is>
          <t>SZKOŁA PODSTAWOWA NR 16</t>
        </is>
      </c>
      <c r="E148" s="4" t="inlineStr">
        <is>
          <t>Szkoły miejskie (SP nr 1-21)</t>
        </is>
      </c>
      <c r="F148" s="5">
        <v>80</v>
      </c>
      <c r="G148" s="8">
        <v>0.0808</v>
      </c>
    </row>
    <row r="149" ht="19">
      <c r="A149" s="3">
        <v>2009</v>
      </c>
      <c r="B149" s="3">
        <v>17</v>
      </c>
      <c r="C149" s="3" t="inlineStr">
        <is>
          <t>OBWÓD 17</t>
        </is>
      </c>
      <c r="D149" s="4" t="inlineStr">
        <is>
          <t>SZKOŁA PODSTAWOWA NR 17</t>
        </is>
      </c>
      <c r="E149" s="4" t="inlineStr">
        <is>
          <t>Szkoły miejskie (SP nr 1-21)</t>
        </is>
      </c>
      <c r="F149" s="5">
        <v>40</v>
      </c>
      <c r="G149" s="8">
        <v>0.0404</v>
      </c>
    </row>
    <row r="150" ht="19">
      <c r="A150" s="3">
        <v>2009</v>
      </c>
      <c r="B150" s="3">
        <v>18</v>
      </c>
      <c r="C150" s="3" t="inlineStr">
        <is>
          <t>OBWÓD 18</t>
        </is>
      </c>
      <c r="D150" s="4" t="inlineStr">
        <is>
          <t>SZKOŁA PODSTAWOWA NR 18</t>
        </is>
      </c>
      <c r="E150" s="4" t="inlineStr">
        <is>
          <t>Szkoły miejskie (SP nr 1-21)</t>
        </is>
      </c>
      <c r="F150" s="5">
        <v>96</v>
      </c>
      <c r="G150" s="8">
        <v>0.097</v>
      </c>
    </row>
    <row r="151" ht="19">
      <c r="A151" s="3">
        <v>2009</v>
      </c>
      <c r="B151" s="3">
        <v>20</v>
      </c>
      <c r="C151" s="3" t="inlineStr">
        <is>
          <t>OBWÓD 20</t>
        </is>
      </c>
      <c r="D151" s="4" t="inlineStr">
        <is>
          <t>SZKOŁA PODSTAWOWA NR 20</t>
        </is>
      </c>
      <c r="E151" s="4" t="inlineStr">
        <is>
          <t>Szkoły miejskie (SP nr 1-21)</t>
        </is>
      </c>
      <c r="F151" s="5">
        <v>61</v>
      </c>
      <c r="G151" s="8">
        <v>0.0616</v>
      </c>
    </row>
    <row r="152" ht="19">
      <c r="A152" s="3">
        <v>2009</v>
      </c>
      <c r="B152" s="3">
        <v>21</v>
      </c>
      <c r="C152" s="3" t="inlineStr">
        <is>
          <t>OBWÓD 21</t>
        </is>
      </c>
      <c r="D152" s="4" t="inlineStr">
        <is>
          <t>SZKOŁA PODSTAWOWA NR 21</t>
        </is>
      </c>
      <c r="E152" s="4" t="inlineStr">
        <is>
          <t>Szkoły miejskie (SP nr 1-21)</t>
        </is>
      </c>
      <c r="F152" s="5">
        <v>115</v>
      </c>
      <c r="G152" s="8">
        <v>0.1162</v>
      </c>
    </row>
    <row r="153" ht="19">
      <c r="A153" s="3">
        <v>2009</v>
      </c>
      <c r="B153" s="3">
        <v>22</v>
      </c>
      <c r="C153" s="3" t="inlineStr">
        <is>
          <t>OBWÓD 22</t>
        </is>
      </c>
      <c r="D153" s="4" t="inlineStr">
        <is>
          <t>SZKOŁA PODSTAWOWA W CHEŁMCU</t>
        </is>
      </c>
      <c r="E153" s="4" t="inlineStr">
        <is>
          <t>Obwody podmiejskie (Chełmiec / Piątkowa)</t>
        </is>
      </c>
      <c r="F153" s="5">
        <v>28</v>
      </c>
      <c r="G153" s="8">
        <v>0.0283</v>
      </c>
    </row>
    <row r="154" ht="19">
      <c r="A154" s="3">
        <v>2009</v>
      </c>
      <c r="B154" s="3">
        <v>23</v>
      </c>
      <c r="C154" s="3" t="inlineStr">
        <is>
          <t>OBWÓD 23</t>
        </is>
      </c>
      <c r="D154" s="4" t="inlineStr">
        <is>
          <t>SZKOŁA PODSTAWOWA W PIĄTKOWEJ</t>
        </is>
      </c>
      <c r="E154" s="4" t="inlineStr">
        <is>
          <t>Obwody podmiejskie (Chełmiec / Piątkowa)</t>
        </is>
      </c>
      <c r="F154" s="5">
        <v>20</v>
      </c>
      <c r="G154" s="8">
        <v>0.0202</v>
      </c>
    </row>
    <row r="155" ht="19">
      <c r="A155" s="3">
        <v>2010</v>
      </c>
      <c r="B155" s="3">
        <v>1</v>
      </c>
      <c r="C155" s="3" t="inlineStr">
        <is>
          <t>OBWÓD 1</t>
        </is>
      </c>
      <c r="D155" s="4" t="inlineStr">
        <is>
          <t>SZKOŁA PODSTAWOWA NR 1</t>
        </is>
      </c>
      <c r="E155" s="4" t="inlineStr">
        <is>
          <t>Szkoły miejskie (SP nr 1-21)</t>
        </is>
      </c>
      <c r="F155" s="5">
        <v>82</v>
      </c>
      <c r="G155" s="8">
        <v>0.0792</v>
      </c>
    </row>
    <row r="156" ht="19">
      <c r="A156" s="3">
        <v>2010</v>
      </c>
      <c r="B156" s="3">
        <v>2</v>
      </c>
      <c r="C156" s="3" t="inlineStr">
        <is>
          <t>OBWÓD 2</t>
        </is>
      </c>
      <c r="D156" s="4" t="inlineStr">
        <is>
          <t>SZKOŁA PODSTAWOWA NR 2</t>
        </is>
      </c>
      <c r="E156" s="4" t="inlineStr">
        <is>
          <t>Szkoły miejskie (SP nr 1-21)</t>
        </is>
      </c>
      <c r="F156" s="5">
        <v>38</v>
      </c>
      <c r="G156" s="8">
        <v>0.0367</v>
      </c>
    </row>
    <row r="157" ht="19">
      <c r="A157" s="3">
        <v>2010</v>
      </c>
      <c r="B157" s="3">
        <v>3</v>
      </c>
      <c r="C157" s="3" t="inlineStr">
        <is>
          <t>OBWÓD 3</t>
        </is>
      </c>
      <c r="D157" s="4" t="inlineStr">
        <is>
          <t>SZKOŁA PODSTAWOWA NR 3</t>
        </is>
      </c>
      <c r="E157" s="4" t="inlineStr">
        <is>
          <t>Szkoły miejskie (SP nr 1-21)</t>
        </is>
      </c>
      <c r="F157" s="5">
        <v>112</v>
      </c>
      <c r="G157" s="8">
        <v>0.1081</v>
      </c>
    </row>
    <row r="158" ht="19">
      <c r="A158" s="3">
        <v>2010</v>
      </c>
      <c r="B158" s="3">
        <v>6</v>
      </c>
      <c r="C158" s="3" t="inlineStr">
        <is>
          <t>OBWÓD 6</t>
        </is>
      </c>
      <c r="D158" s="4" t="inlineStr">
        <is>
          <t>SZKOŁA PODSTAWOWA NR 6</t>
        </is>
      </c>
      <c r="E158" s="4" t="inlineStr">
        <is>
          <t>Szkoły miejskie (SP nr 1-21)</t>
        </is>
      </c>
      <c r="F158" s="5">
        <v>15</v>
      </c>
      <c r="G158" s="8">
        <v>0.0145</v>
      </c>
    </row>
    <row r="159" ht="19">
      <c r="A159" s="3">
        <v>2010</v>
      </c>
      <c r="B159" s="3">
        <v>7</v>
      </c>
      <c r="C159" s="3" t="inlineStr">
        <is>
          <t>OBWÓD 7</t>
        </is>
      </c>
      <c r="D159" s="4" t="inlineStr">
        <is>
          <t>SZKOŁA PODSTAWOWA NR 7</t>
        </is>
      </c>
      <c r="E159" s="4" t="inlineStr">
        <is>
          <t>Szkoły miejskie (SP nr 1-21)</t>
        </is>
      </c>
      <c r="F159" s="5">
        <v>66</v>
      </c>
      <c r="G159" s="8">
        <v>0.0637</v>
      </c>
    </row>
    <row r="160" ht="19">
      <c r="A160" s="3">
        <v>2010</v>
      </c>
      <c r="B160" s="3">
        <v>8</v>
      </c>
      <c r="C160" s="3" t="inlineStr">
        <is>
          <t>OBWÓD 8</t>
        </is>
      </c>
      <c r="D160" s="4" t="inlineStr">
        <is>
          <t>SZKOŁA PODSTAWOWA NR 8</t>
        </is>
      </c>
      <c r="E160" s="4" t="inlineStr">
        <is>
          <t>Szkoły miejskie (SP nr 1-21)</t>
        </is>
      </c>
      <c r="F160" s="5">
        <v>70</v>
      </c>
      <c r="G160" s="8">
        <v>0.0676</v>
      </c>
    </row>
    <row r="161" ht="19">
      <c r="A161" s="3">
        <v>2010</v>
      </c>
      <c r="B161" s="3">
        <v>9</v>
      </c>
      <c r="C161" s="3" t="inlineStr">
        <is>
          <t>OBWÓD 9</t>
        </is>
      </c>
      <c r="D161" s="4" t="inlineStr">
        <is>
          <t>SZKOŁA PODSTAWOWA NR 9</t>
        </is>
      </c>
      <c r="E161" s="4" t="inlineStr">
        <is>
          <t>Szkoły miejskie (SP nr 1-21)</t>
        </is>
      </c>
      <c r="F161" s="5">
        <v>80</v>
      </c>
      <c r="G161" s="8">
        <v>0.0772</v>
      </c>
    </row>
    <row r="162" ht="19">
      <c r="A162" s="3">
        <v>2010</v>
      </c>
      <c r="B162" s="3">
        <v>11</v>
      </c>
      <c r="C162" s="3" t="inlineStr">
        <is>
          <t>OBWÓD 11</t>
        </is>
      </c>
      <c r="D162" s="4" t="inlineStr">
        <is>
          <t>SZKOŁA PODSTAWOWA NR 11</t>
        </is>
      </c>
      <c r="E162" s="4" t="inlineStr">
        <is>
          <t>Szkoły miejskie (SP nr 1-21)</t>
        </is>
      </c>
      <c r="F162" s="5">
        <v>23</v>
      </c>
      <c r="G162" s="8">
        <v>0.0222</v>
      </c>
    </row>
    <row r="163" ht="19">
      <c r="A163" s="3">
        <v>2010</v>
      </c>
      <c r="B163" s="3">
        <v>14</v>
      </c>
      <c r="C163" s="3" t="inlineStr">
        <is>
          <t>OBWÓD 14</t>
        </is>
      </c>
      <c r="D163" s="4" t="inlineStr">
        <is>
          <t>SZKOŁA PODSTAWOWA NR 14</t>
        </is>
      </c>
      <c r="E163" s="4" t="inlineStr">
        <is>
          <t>Szkoły miejskie (SP nr 1-21)</t>
        </is>
      </c>
      <c r="F163" s="5">
        <v>16</v>
      </c>
      <c r="G163" s="8">
        <v>0.0154</v>
      </c>
    </row>
    <row r="164" ht="19">
      <c r="A164" s="3">
        <v>2010</v>
      </c>
      <c r="B164" s="3">
        <v>15</v>
      </c>
      <c r="C164" s="3" t="inlineStr">
        <is>
          <t>OBWÓD 15</t>
        </is>
      </c>
      <c r="D164" s="4" t="inlineStr">
        <is>
          <t>SZKOŁA PODSTAWOWA NR 15</t>
        </is>
      </c>
      <c r="E164" s="4" t="inlineStr">
        <is>
          <t>Szkoły miejskie (SP nr 1-21)</t>
        </is>
      </c>
      <c r="F164" s="5">
        <v>60</v>
      </c>
      <c r="G164" s="8">
        <v>0.0579</v>
      </c>
    </row>
    <row r="165" ht="19">
      <c r="A165" s="3">
        <v>2010</v>
      </c>
      <c r="B165" s="3">
        <v>16</v>
      </c>
      <c r="C165" s="3" t="inlineStr">
        <is>
          <t>OBWÓD 16</t>
        </is>
      </c>
      <c r="D165" s="4" t="inlineStr">
        <is>
          <t>SZKOŁA PODSTAWOWA NR 16</t>
        </is>
      </c>
      <c r="E165" s="4" t="inlineStr">
        <is>
          <t>Szkoły miejskie (SP nr 1-21)</t>
        </is>
      </c>
      <c r="F165" s="5">
        <v>81</v>
      </c>
      <c r="G165" s="8">
        <v>0.0782</v>
      </c>
    </row>
    <row r="166" ht="19">
      <c r="A166" s="3">
        <v>2010</v>
      </c>
      <c r="B166" s="3">
        <v>17</v>
      </c>
      <c r="C166" s="3" t="inlineStr">
        <is>
          <t>OBWÓD 17</t>
        </is>
      </c>
      <c r="D166" s="4" t="inlineStr">
        <is>
          <t>SZKOŁA PODSTAWOWA NR 17</t>
        </is>
      </c>
      <c r="E166" s="4" t="inlineStr">
        <is>
          <t>Szkoły miejskie (SP nr 1-21)</t>
        </is>
      </c>
      <c r="F166" s="5">
        <v>52</v>
      </c>
      <c r="G166" s="8">
        <v>0.0502</v>
      </c>
    </row>
    <row r="167" ht="19">
      <c r="A167" s="3">
        <v>2010</v>
      </c>
      <c r="B167" s="3">
        <v>18</v>
      </c>
      <c r="C167" s="3" t="inlineStr">
        <is>
          <t>OBWÓD 18</t>
        </is>
      </c>
      <c r="D167" s="4" t="inlineStr">
        <is>
          <t>SZKOŁA PODSTAWOWA NR 18</t>
        </is>
      </c>
      <c r="E167" s="4" t="inlineStr">
        <is>
          <t>Szkoły miejskie (SP nr 1-21)</t>
        </is>
      </c>
      <c r="F167" s="5">
        <v>91</v>
      </c>
      <c r="G167" s="8">
        <v>0.0878</v>
      </c>
    </row>
    <row r="168" ht="19">
      <c r="A168" s="3">
        <v>2010</v>
      </c>
      <c r="B168" s="3">
        <v>20</v>
      </c>
      <c r="C168" s="3" t="inlineStr">
        <is>
          <t>OBWÓD 20</t>
        </is>
      </c>
      <c r="D168" s="4" t="inlineStr">
        <is>
          <t>SZKOŁA PODSTAWOWA NR 20</t>
        </is>
      </c>
      <c r="E168" s="4" t="inlineStr">
        <is>
          <t>Szkoły miejskie (SP nr 1-21)</t>
        </is>
      </c>
      <c r="F168" s="5">
        <v>55</v>
      </c>
      <c r="G168" s="8">
        <v>0.0531</v>
      </c>
    </row>
    <row r="169" ht="19">
      <c r="A169" s="3">
        <v>2010</v>
      </c>
      <c r="B169" s="3">
        <v>21</v>
      </c>
      <c r="C169" s="3" t="inlineStr">
        <is>
          <t>OBWÓD 21</t>
        </is>
      </c>
      <c r="D169" s="4" t="inlineStr">
        <is>
          <t>SZKOŁA PODSTAWOWA NR 21</t>
        </is>
      </c>
      <c r="E169" s="4" t="inlineStr">
        <is>
          <t>Szkoły miejskie (SP nr 1-21)</t>
        </is>
      </c>
      <c r="F169" s="5">
        <v>122</v>
      </c>
      <c r="G169" s="8">
        <v>0.1178</v>
      </c>
    </row>
    <row r="170" ht="19">
      <c r="A170" s="3">
        <v>2010</v>
      </c>
      <c r="B170" s="3">
        <v>22</v>
      </c>
      <c r="C170" s="3" t="inlineStr">
        <is>
          <t>OBWÓD 22</t>
        </is>
      </c>
      <c r="D170" s="4" t="inlineStr">
        <is>
          <t>SZKOŁA PODSTAWOWA W CHEŁMCU</t>
        </is>
      </c>
      <c r="E170" s="4" t="inlineStr">
        <is>
          <t>Obwody podmiejskie (Chełmiec / Piątkowa)</t>
        </is>
      </c>
      <c r="F170" s="5">
        <v>42</v>
      </c>
      <c r="G170" s="8">
        <v>0.0405</v>
      </c>
    </row>
    <row r="171" ht="19">
      <c r="A171" s="3">
        <v>2010</v>
      </c>
      <c r="B171" s="3">
        <v>23</v>
      </c>
      <c r="C171" s="3" t="inlineStr">
        <is>
          <t>OBWÓD 23</t>
        </is>
      </c>
      <c r="D171" s="4" t="inlineStr">
        <is>
          <t>SZKOŁA PODSTAWOWA W PIĄTKOWEJ</t>
        </is>
      </c>
      <c r="E171" s="4" t="inlineStr">
        <is>
          <t>Obwody podmiejskie (Chełmiec / Piątkowa)</t>
        </is>
      </c>
      <c r="F171" s="5">
        <v>31</v>
      </c>
      <c r="G171" s="8">
        <v>0.0299</v>
      </c>
    </row>
    <row r="172" ht="19">
      <c r="A172" s="3">
        <v>2011</v>
      </c>
      <c r="B172" s="3">
        <v>1</v>
      </c>
      <c r="C172" s="3" t="inlineStr">
        <is>
          <t>OBWÓD 1</t>
        </is>
      </c>
      <c r="D172" s="4" t="inlineStr">
        <is>
          <t>SZKOŁA PODSTAWOWA NR 1</t>
        </is>
      </c>
      <c r="E172" s="4" t="inlineStr">
        <is>
          <t>Szkoły miejskie (SP nr 1-21)</t>
        </is>
      </c>
      <c r="F172" s="5">
        <v>94</v>
      </c>
      <c r="G172" s="8">
        <v>0.1017</v>
      </c>
    </row>
    <row r="173" ht="19">
      <c r="A173" s="3">
        <v>2011</v>
      </c>
      <c r="B173" s="3">
        <v>2</v>
      </c>
      <c r="C173" s="3" t="inlineStr">
        <is>
          <t>OBWÓD 2</t>
        </is>
      </c>
      <c r="D173" s="4" t="inlineStr">
        <is>
          <t>SZKOŁA PODSTAWOWA NR 2</t>
        </is>
      </c>
      <c r="E173" s="4" t="inlineStr">
        <is>
          <t>Szkoły miejskie (SP nr 1-21)</t>
        </is>
      </c>
      <c r="F173" s="5">
        <v>48</v>
      </c>
      <c r="G173" s="8">
        <v>0.0519</v>
      </c>
    </row>
    <row r="174" ht="19">
      <c r="A174" s="3">
        <v>2011</v>
      </c>
      <c r="B174" s="3">
        <v>3</v>
      </c>
      <c r="C174" s="3" t="inlineStr">
        <is>
          <t>OBWÓD 3</t>
        </is>
      </c>
      <c r="D174" s="4" t="inlineStr">
        <is>
          <t>SZKOŁA PODSTAWOWA NR 3</t>
        </is>
      </c>
      <c r="E174" s="4" t="inlineStr">
        <is>
          <t>Szkoły miejskie (SP nr 1-21)</t>
        </is>
      </c>
      <c r="F174" s="5">
        <v>83</v>
      </c>
      <c r="G174" s="8">
        <v>0.0898</v>
      </c>
    </row>
    <row r="175" ht="19">
      <c r="A175" s="3">
        <v>2011</v>
      </c>
      <c r="B175" s="3">
        <v>6</v>
      </c>
      <c r="C175" s="3" t="inlineStr">
        <is>
          <t>OBWÓD 6</t>
        </is>
      </c>
      <c r="D175" s="4" t="inlineStr">
        <is>
          <t>SZKOŁA PODSTAWOWA NR 6</t>
        </is>
      </c>
      <c r="E175" s="4" t="inlineStr">
        <is>
          <t>Szkoły miejskie (SP nr 1-21)</t>
        </is>
      </c>
      <c r="F175" s="5">
        <v>17</v>
      </c>
      <c r="G175" s="8">
        <v>0.0184</v>
      </c>
    </row>
    <row r="176" ht="19">
      <c r="A176" s="3">
        <v>2011</v>
      </c>
      <c r="B176" s="3">
        <v>7</v>
      </c>
      <c r="C176" s="3" t="inlineStr">
        <is>
          <t>OBWÓD 7</t>
        </is>
      </c>
      <c r="D176" s="4" t="inlineStr">
        <is>
          <t>SZKOŁA PODSTAWOWA NR 7</t>
        </is>
      </c>
      <c r="E176" s="4" t="inlineStr">
        <is>
          <t>Szkoły miejskie (SP nr 1-21)</t>
        </is>
      </c>
      <c r="F176" s="5">
        <v>50</v>
      </c>
      <c r="G176" s="8">
        <v>0.0541</v>
      </c>
    </row>
    <row r="177" ht="19">
      <c r="A177" s="3">
        <v>2011</v>
      </c>
      <c r="B177" s="3">
        <v>8</v>
      </c>
      <c r="C177" s="3" t="inlineStr">
        <is>
          <t>OBWÓD 8</t>
        </is>
      </c>
      <c r="D177" s="4" t="inlineStr">
        <is>
          <t>SZKOŁA PODSTAWOWA NR 8</t>
        </is>
      </c>
      <c r="E177" s="4" t="inlineStr">
        <is>
          <t>Szkoły miejskie (SP nr 1-21)</t>
        </is>
      </c>
      <c r="F177" s="5">
        <v>75</v>
      </c>
      <c r="G177" s="8">
        <v>0.0812</v>
      </c>
    </row>
    <row r="178" ht="19">
      <c r="A178" s="3">
        <v>2011</v>
      </c>
      <c r="B178" s="3">
        <v>9</v>
      </c>
      <c r="C178" s="3" t="inlineStr">
        <is>
          <t>OBWÓD 9</t>
        </is>
      </c>
      <c r="D178" s="4" t="inlineStr">
        <is>
          <t>SZKOŁA PODSTAWOWA NR 9</t>
        </is>
      </c>
      <c r="E178" s="4" t="inlineStr">
        <is>
          <t>Szkoły miejskie (SP nr 1-21)</t>
        </is>
      </c>
      <c r="F178" s="5">
        <v>73</v>
      </c>
      <c r="G178" s="8">
        <v>0.079</v>
      </c>
    </row>
    <row r="179" ht="19">
      <c r="A179" s="3">
        <v>2011</v>
      </c>
      <c r="B179" s="3">
        <v>11</v>
      </c>
      <c r="C179" s="3" t="inlineStr">
        <is>
          <t>OBWÓD 11</t>
        </is>
      </c>
      <c r="D179" s="4" t="inlineStr">
        <is>
          <t>SZKOŁA PODSTAWOWA NR 11</t>
        </is>
      </c>
      <c r="E179" s="4" t="inlineStr">
        <is>
          <t>Szkoły miejskie (SP nr 1-21)</t>
        </is>
      </c>
      <c r="F179" s="5">
        <v>19</v>
      </c>
      <c r="G179" s="8">
        <v>0.0206</v>
      </c>
    </row>
    <row r="180" ht="19">
      <c r="A180" s="3">
        <v>2011</v>
      </c>
      <c r="B180" s="3">
        <v>14</v>
      </c>
      <c r="C180" s="3" t="inlineStr">
        <is>
          <t>OBWÓD 14</t>
        </is>
      </c>
      <c r="D180" s="4" t="inlineStr">
        <is>
          <t>SZKOŁA PODSTAWOWA NR 14</t>
        </is>
      </c>
      <c r="E180" s="4" t="inlineStr">
        <is>
          <t>Szkoły miejskie (SP nr 1-21)</t>
        </is>
      </c>
      <c r="F180" s="5">
        <v>12</v>
      </c>
      <c r="G180" s="8">
        <v>0.013</v>
      </c>
    </row>
    <row r="181" ht="19">
      <c r="A181" s="3">
        <v>2011</v>
      </c>
      <c r="B181" s="3">
        <v>15</v>
      </c>
      <c r="C181" s="3" t="inlineStr">
        <is>
          <t>OBWÓD 15</t>
        </is>
      </c>
      <c r="D181" s="4" t="inlineStr">
        <is>
          <t>SZKOŁA PODSTAWOWA NR 15</t>
        </is>
      </c>
      <c r="E181" s="4" t="inlineStr">
        <is>
          <t>Szkoły miejskie (SP nr 1-21)</t>
        </is>
      </c>
      <c r="F181" s="5">
        <v>38</v>
      </c>
      <c r="G181" s="8">
        <v>0.0411</v>
      </c>
    </row>
    <row r="182" ht="19">
      <c r="A182" s="3">
        <v>2011</v>
      </c>
      <c r="B182" s="3">
        <v>16</v>
      </c>
      <c r="C182" s="3" t="inlineStr">
        <is>
          <t>OBWÓD 16</t>
        </is>
      </c>
      <c r="D182" s="4" t="inlineStr">
        <is>
          <t>SZKOŁA PODSTAWOWA NR 16</t>
        </is>
      </c>
      <c r="E182" s="4" t="inlineStr">
        <is>
          <t>Szkoły miejskie (SP nr 1-21)</t>
        </is>
      </c>
      <c r="F182" s="5">
        <v>67</v>
      </c>
      <c r="G182" s="8">
        <v>0.0725</v>
      </c>
    </row>
    <row r="183" ht="19">
      <c r="A183" s="3">
        <v>2011</v>
      </c>
      <c r="B183" s="3">
        <v>17</v>
      </c>
      <c r="C183" s="3" t="inlineStr">
        <is>
          <t>OBWÓD 17</t>
        </is>
      </c>
      <c r="D183" s="4" t="inlineStr">
        <is>
          <t>SZKOŁA PODSTAWOWA NR 17</t>
        </is>
      </c>
      <c r="E183" s="4" t="inlineStr">
        <is>
          <t>Szkoły miejskie (SP nr 1-21)</t>
        </is>
      </c>
      <c r="F183" s="5">
        <v>39</v>
      </c>
      <c r="G183" s="8">
        <v>0.0422</v>
      </c>
    </row>
    <row r="184" ht="19">
      <c r="A184" s="3">
        <v>2011</v>
      </c>
      <c r="B184" s="3">
        <v>18</v>
      </c>
      <c r="C184" s="3" t="inlineStr">
        <is>
          <t>OBWÓD 18</t>
        </is>
      </c>
      <c r="D184" s="4" t="inlineStr">
        <is>
          <t>SZKOŁA PODSTAWOWA NR 18</t>
        </is>
      </c>
      <c r="E184" s="4" t="inlineStr">
        <is>
          <t>Szkoły miejskie (SP nr 1-21)</t>
        </is>
      </c>
      <c r="F184" s="5">
        <v>85</v>
      </c>
      <c r="G184" s="8">
        <v>0.092</v>
      </c>
    </row>
    <row r="185" ht="19">
      <c r="A185" s="3">
        <v>2011</v>
      </c>
      <c r="B185" s="3">
        <v>20</v>
      </c>
      <c r="C185" s="3" t="inlineStr">
        <is>
          <t>OBWÓD 20</t>
        </is>
      </c>
      <c r="D185" s="4" t="inlineStr">
        <is>
          <t>SZKOŁA PODSTAWOWA NR 20</t>
        </is>
      </c>
      <c r="E185" s="4" t="inlineStr">
        <is>
          <t>Szkoły miejskie (SP nr 1-21)</t>
        </is>
      </c>
      <c r="F185" s="5">
        <v>54</v>
      </c>
      <c r="G185" s="8">
        <v>0.0584</v>
      </c>
    </row>
    <row r="186" ht="19">
      <c r="A186" s="3">
        <v>2011</v>
      </c>
      <c r="B186" s="3">
        <v>21</v>
      </c>
      <c r="C186" s="3" t="inlineStr">
        <is>
          <t>OBWÓD 21</t>
        </is>
      </c>
      <c r="D186" s="4" t="inlineStr">
        <is>
          <t>SZKOŁA PODSTAWOWA NR 21</t>
        </is>
      </c>
      <c r="E186" s="4" t="inlineStr">
        <is>
          <t>Szkoły miejskie (SP nr 1-21)</t>
        </is>
      </c>
      <c r="F186" s="5">
        <v>119</v>
      </c>
      <c r="G186" s="8">
        <v>0.1288</v>
      </c>
    </row>
    <row r="187" ht="19">
      <c r="A187" s="3">
        <v>2011</v>
      </c>
      <c r="B187" s="3">
        <v>22</v>
      </c>
      <c r="C187" s="3" t="inlineStr">
        <is>
          <t>OBWÓD 22</t>
        </is>
      </c>
      <c r="D187" s="4" t="inlineStr">
        <is>
          <t>SZKOŁA PODSTAWOWA W CHEŁMCU</t>
        </is>
      </c>
      <c r="E187" s="4" t="inlineStr">
        <is>
          <t>Obwody podmiejskie (Chełmiec / Piątkowa)</t>
        </is>
      </c>
      <c r="F187" s="5">
        <v>31</v>
      </c>
      <c r="G187" s="8">
        <v>0.0335</v>
      </c>
    </row>
    <row r="188" ht="19">
      <c r="A188" s="3">
        <v>2011</v>
      </c>
      <c r="B188" s="3">
        <v>23</v>
      </c>
      <c r="C188" s="3" t="inlineStr">
        <is>
          <t>OBWÓD 23</t>
        </is>
      </c>
      <c r="D188" s="4" t="inlineStr">
        <is>
          <t>SZKOŁA PODSTAWOWA W PIĄTKOWEJ</t>
        </is>
      </c>
      <c r="E188" s="4" t="inlineStr">
        <is>
          <t>Obwody podmiejskie (Chełmiec / Piątkowa)</t>
        </is>
      </c>
      <c r="F188" s="5">
        <v>20</v>
      </c>
      <c r="G188" s="8">
        <v>0.0216</v>
      </c>
    </row>
    <row r="189" ht="19">
      <c r="A189" s="3">
        <v>2012</v>
      </c>
      <c r="B189" s="3">
        <v>1</v>
      </c>
      <c r="C189" s="3" t="inlineStr">
        <is>
          <t>OBWÓD 1</t>
        </is>
      </c>
      <c r="D189" s="4" t="inlineStr">
        <is>
          <t>SZKOŁA PODSTAWOWA NR 1</t>
        </is>
      </c>
      <c r="E189" s="4" t="inlineStr">
        <is>
          <t>Szkoły miejskie (SP nr 1-21)</t>
        </is>
      </c>
      <c r="F189" s="5">
        <v>46</v>
      </c>
      <c r="G189" s="8">
        <v>0.0527</v>
      </c>
    </row>
    <row r="190" ht="19">
      <c r="A190" s="3">
        <v>2012</v>
      </c>
      <c r="B190" s="3">
        <v>2</v>
      </c>
      <c r="C190" s="3" t="inlineStr">
        <is>
          <t>OBWÓD 2</t>
        </is>
      </c>
      <c r="D190" s="4" t="inlineStr">
        <is>
          <t>SZKOŁA PODSTAWOWA NR 2</t>
        </is>
      </c>
      <c r="E190" s="4" t="inlineStr">
        <is>
          <t>Szkoły miejskie (SP nr 1-21)</t>
        </is>
      </c>
      <c r="F190" s="5">
        <v>48</v>
      </c>
      <c r="G190" s="8">
        <v>0.055</v>
      </c>
    </row>
    <row r="191" ht="19">
      <c r="A191" s="3">
        <v>2012</v>
      </c>
      <c r="B191" s="3">
        <v>3</v>
      </c>
      <c r="C191" s="3" t="inlineStr">
        <is>
          <t>OBWÓD 3</t>
        </is>
      </c>
      <c r="D191" s="4" t="inlineStr">
        <is>
          <t>SZKOŁA PODSTAWOWA NR 3</t>
        </is>
      </c>
      <c r="E191" s="4" t="inlineStr">
        <is>
          <t>Szkoły miejskie (SP nr 1-21)</t>
        </is>
      </c>
      <c r="F191" s="5">
        <v>73</v>
      </c>
      <c r="G191" s="8">
        <v>0.0836</v>
      </c>
    </row>
    <row r="192" ht="19">
      <c r="A192" s="3">
        <v>2012</v>
      </c>
      <c r="B192" s="3">
        <v>6</v>
      </c>
      <c r="C192" s="3" t="inlineStr">
        <is>
          <t>OBWÓD 6</t>
        </is>
      </c>
      <c r="D192" s="4" t="inlineStr">
        <is>
          <t>SZKOŁA PODSTAWOWA NR 6</t>
        </is>
      </c>
      <c r="E192" s="4" t="inlineStr">
        <is>
          <t>Szkoły miejskie (SP nr 1-21)</t>
        </is>
      </c>
      <c r="F192" s="5">
        <v>18</v>
      </c>
      <c r="G192" s="8">
        <v>0.0206</v>
      </c>
    </row>
    <row r="193" ht="19">
      <c r="A193" s="3">
        <v>2012</v>
      </c>
      <c r="B193" s="3">
        <v>7</v>
      </c>
      <c r="C193" s="3" t="inlineStr">
        <is>
          <t>OBWÓD 7</t>
        </is>
      </c>
      <c r="D193" s="4" t="inlineStr">
        <is>
          <t>SZKOŁA PODSTAWOWA NR 7</t>
        </is>
      </c>
      <c r="E193" s="4" t="inlineStr">
        <is>
          <t>Szkoły miejskie (SP nr 1-21)</t>
        </is>
      </c>
      <c r="F193" s="5">
        <v>36</v>
      </c>
      <c r="G193" s="8">
        <v>0.0412</v>
      </c>
    </row>
    <row r="194" ht="19">
      <c r="A194" s="3">
        <v>2012</v>
      </c>
      <c r="B194" s="3">
        <v>8</v>
      </c>
      <c r="C194" s="3" t="inlineStr">
        <is>
          <t>OBWÓD 8</t>
        </is>
      </c>
      <c r="D194" s="4" t="inlineStr">
        <is>
          <t>SZKOŁA PODSTAWOWA NR 8</t>
        </is>
      </c>
      <c r="E194" s="4" t="inlineStr">
        <is>
          <t>Szkoły miejskie (SP nr 1-21)</t>
        </is>
      </c>
      <c r="F194" s="5">
        <v>51</v>
      </c>
      <c r="G194" s="8">
        <v>0.0584</v>
      </c>
    </row>
    <row r="195" ht="19">
      <c r="A195" s="3">
        <v>2012</v>
      </c>
      <c r="B195" s="3">
        <v>9</v>
      </c>
      <c r="C195" s="3" t="inlineStr">
        <is>
          <t>OBWÓD 9</t>
        </is>
      </c>
      <c r="D195" s="4" t="inlineStr">
        <is>
          <t>SZKOŁA PODSTAWOWA NR 9</t>
        </is>
      </c>
      <c r="E195" s="4" t="inlineStr">
        <is>
          <t>Szkoły miejskie (SP nr 1-21)</t>
        </is>
      </c>
      <c r="F195" s="5">
        <v>75</v>
      </c>
      <c r="G195" s="8">
        <v>0.0859</v>
      </c>
    </row>
    <row r="196" ht="19">
      <c r="A196" s="3">
        <v>2012</v>
      </c>
      <c r="B196" s="3">
        <v>11</v>
      </c>
      <c r="C196" s="3" t="inlineStr">
        <is>
          <t>OBWÓD 11</t>
        </is>
      </c>
      <c r="D196" s="4" t="inlineStr">
        <is>
          <t>SZKOŁA PODSTAWOWA NR 11</t>
        </is>
      </c>
      <c r="E196" s="4" t="inlineStr">
        <is>
          <t>Szkoły miejskie (SP nr 1-21)</t>
        </is>
      </c>
      <c r="F196" s="5">
        <v>23</v>
      </c>
      <c r="G196" s="8">
        <v>0.0263</v>
      </c>
    </row>
    <row r="197" ht="19">
      <c r="A197" s="3">
        <v>2012</v>
      </c>
      <c r="B197" s="3">
        <v>14</v>
      </c>
      <c r="C197" s="3" t="inlineStr">
        <is>
          <t>OBWÓD 14</t>
        </is>
      </c>
      <c r="D197" s="4" t="inlineStr">
        <is>
          <t>SZKOŁA PODSTAWOWA NR 14</t>
        </is>
      </c>
      <c r="E197" s="4" t="inlineStr">
        <is>
          <t>Szkoły miejskie (SP nr 1-21)</t>
        </is>
      </c>
      <c r="F197" s="5">
        <v>28</v>
      </c>
      <c r="G197" s="8">
        <v>0.0321</v>
      </c>
    </row>
    <row r="198" ht="19">
      <c r="A198" s="3">
        <v>2012</v>
      </c>
      <c r="B198" s="3">
        <v>15</v>
      </c>
      <c r="C198" s="3" t="inlineStr">
        <is>
          <t>OBWÓD 15</t>
        </is>
      </c>
      <c r="D198" s="4" t="inlineStr">
        <is>
          <t>SZKOŁA PODSTAWOWA NR 15</t>
        </is>
      </c>
      <c r="E198" s="4" t="inlineStr">
        <is>
          <t>Szkoły miejskie (SP nr 1-21)</t>
        </is>
      </c>
      <c r="F198" s="5">
        <v>62</v>
      </c>
      <c r="G198" s="8">
        <v>0.071</v>
      </c>
    </row>
    <row r="199" ht="19">
      <c r="A199" s="3">
        <v>2012</v>
      </c>
      <c r="B199" s="3">
        <v>16</v>
      </c>
      <c r="C199" s="3" t="inlineStr">
        <is>
          <t>OBWÓD 16</t>
        </is>
      </c>
      <c r="D199" s="4" t="inlineStr">
        <is>
          <t>SZKOŁA PODSTAWOWA NR 16</t>
        </is>
      </c>
      <c r="E199" s="4" t="inlineStr">
        <is>
          <t>Szkoły miejskie (SP nr 1-21)</t>
        </is>
      </c>
      <c r="F199" s="5">
        <v>77</v>
      </c>
      <c r="G199" s="8">
        <v>0.0882</v>
      </c>
    </row>
    <row r="200" ht="19">
      <c r="A200" s="3">
        <v>2012</v>
      </c>
      <c r="B200" s="3">
        <v>17</v>
      </c>
      <c r="C200" s="3" t="inlineStr">
        <is>
          <t>OBWÓD 17</t>
        </is>
      </c>
      <c r="D200" s="4" t="inlineStr">
        <is>
          <t>SZKOŁA PODSTAWOWA NR 17</t>
        </is>
      </c>
      <c r="E200" s="4" t="inlineStr">
        <is>
          <t>Szkoły miejskie (SP nr 1-21)</t>
        </is>
      </c>
      <c r="F200" s="5">
        <v>43</v>
      </c>
      <c r="G200" s="8">
        <v>0.0493</v>
      </c>
    </row>
    <row r="201" ht="19">
      <c r="A201" s="3">
        <v>2012</v>
      </c>
      <c r="B201" s="3">
        <v>18</v>
      </c>
      <c r="C201" s="3" t="inlineStr">
        <is>
          <t>OBWÓD 18</t>
        </is>
      </c>
      <c r="D201" s="4" t="inlineStr">
        <is>
          <t>SZKOŁA PODSTAWOWA NR 18</t>
        </is>
      </c>
      <c r="E201" s="4" t="inlineStr">
        <is>
          <t>Szkoły miejskie (SP nr 1-21)</t>
        </is>
      </c>
      <c r="F201" s="5">
        <v>83</v>
      </c>
      <c r="G201" s="8">
        <v>0.0951</v>
      </c>
    </row>
    <row r="202" ht="19">
      <c r="A202" s="3">
        <v>2012</v>
      </c>
      <c r="B202" s="3">
        <v>20</v>
      </c>
      <c r="C202" s="3" t="inlineStr">
        <is>
          <t>OBWÓD 20</t>
        </is>
      </c>
      <c r="D202" s="4" t="inlineStr">
        <is>
          <t>SZKOŁA PODSTAWOWA NR 20</t>
        </is>
      </c>
      <c r="E202" s="4" t="inlineStr">
        <is>
          <t>Szkoły miejskie (SP nr 1-21)</t>
        </is>
      </c>
      <c r="F202" s="5">
        <v>51</v>
      </c>
      <c r="G202" s="8">
        <v>0.0584</v>
      </c>
    </row>
    <row r="203" ht="19">
      <c r="A203" s="3">
        <v>2012</v>
      </c>
      <c r="B203" s="3">
        <v>21</v>
      </c>
      <c r="C203" s="3" t="inlineStr">
        <is>
          <t>OBWÓD 21</t>
        </is>
      </c>
      <c r="D203" s="4" t="inlineStr">
        <is>
          <t>SZKOŁA PODSTAWOWA NR 21</t>
        </is>
      </c>
      <c r="E203" s="4" t="inlineStr">
        <is>
          <t>Szkoły miejskie (SP nr 1-21)</t>
        </is>
      </c>
      <c r="F203" s="5">
        <v>110</v>
      </c>
      <c r="G203" s="8">
        <v>0.126</v>
      </c>
    </row>
    <row r="204" ht="19">
      <c r="A204" s="3">
        <v>2012</v>
      </c>
      <c r="B204" s="3">
        <v>22</v>
      </c>
      <c r="C204" s="3" t="inlineStr">
        <is>
          <t>OBWÓD 22</t>
        </is>
      </c>
      <c r="D204" s="4" t="inlineStr">
        <is>
          <t>SZKOŁA PODSTAWOWA W CHEŁMCU</t>
        </is>
      </c>
      <c r="E204" s="4" t="inlineStr">
        <is>
          <t>Obwody podmiejskie (Chełmiec / Piątkowa)</t>
        </is>
      </c>
      <c r="F204" s="5">
        <v>25</v>
      </c>
      <c r="G204" s="8">
        <v>0.0286</v>
      </c>
    </row>
    <row r="205" ht="19">
      <c r="A205" s="3">
        <v>2012</v>
      </c>
      <c r="B205" s="3">
        <v>23</v>
      </c>
      <c r="C205" s="3" t="inlineStr">
        <is>
          <t>OBWÓD 23</t>
        </is>
      </c>
      <c r="D205" s="4" t="inlineStr">
        <is>
          <t>SZKOŁA PODSTAWOWA W PIĄTKOWEJ</t>
        </is>
      </c>
      <c r="E205" s="4" t="inlineStr">
        <is>
          <t>Obwody podmiejskie (Chełmiec / Piątkowa)</t>
        </is>
      </c>
      <c r="F205" s="5">
        <v>24</v>
      </c>
      <c r="G205" s="8">
        <v>0.0275</v>
      </c>
    </row>
    <row r="206" ht="19">
      <c r="A206" s="3">
        <v>2013</v>
      </c>
      <c r="B206" s="3">
        <v>1</v>
      </c>
      <c r="C206" s="3" t="inlineStr">
        <is>
          <t>OBWÓD 1</t>
        </is>
      </c>
      <c r="D206" s="4" t="inlineStr">
        <is>
          <t>SZKOŁA PODSTAWOWA NR 1</t>
        </is>
      </c>
      <c r="E206" s="4" t="inlineStr">
        <is>
          <t>Szkoły miejskie (SP nr 1-21)</t>
        </is>
      </c>
      <c r="F206" s="5">
        <v>41</v>
      </c>
      <c r="G206" s="8">
        <v>0.0512</v>
      </c>
    </row>
    <row r="207" ht="19">
      <c r="A207" s="3">
        <v>2013</v>
      </c>
      <c r="B207" s="3">
        <v>2</v>
      </c>
      <c r="C207" s="3" t="inlineStr">
        <is>
          <t>OBWÓD 2</t>
        </is>
      </c>
      <c r="D207" s="4" t="inlineStr">
        <is>
          <t>SZKOŁA PODSTAWOWA NR 2</t>
        </is>
      </c>
      <c r="E207" s="4" t="inlineStr">
        <is>
          <t>Szkoły miejskie (SP nr 1-21)</t>
        </is>
      </c>
      <c r="F207" s="5">
        <v>44</v>
      </c>
      <c r="G207" s="8">
        <v>0.055</v>
      </c>
    </row>
    <row r="208" ht="19">
      <c r="A208" s="3">
        <v>2013</v>
      </c>
      <c r="B208" s="3">
        <v>3</v>
      </c>
      <c r="C208" s="3" t="inlineStr">
        <is>
          <t>OBWÓD 3</t>
        </is>
      </c>
      <c r="D208" s="4" t="inlineStr">
        <is>
          <t>SZKOŁA PODSTAWOWA NR 3</t>
        </is>
      </c>
      <c r="E208" s="4" t="inlineStr">
        <is>
          <t>Szkoły miejskie (SP nr 1-21)</t>
        </is>
      </c>
      <c r="F208" s="5">
        <v>58</v>
      </c>
      <c r="G208" s="8">
        <v>0.0725</v>
      </c>
    </row>
    <row r="209" ht="19">
      <c r="A209" s="3">
        <v>2013</v>
      </c>
      <c r="B209" s="3">
        <v>6</v>
      </c>
      <c r="C209" s="3" t="inlineStr">
        <is>
          <t>OBWÓD 6</t>
        </is>
      </c>
      <c r="D209" s="4" t="inlineStr">
        <is>
          <t>SZKOŁA PODSTAWOWA NR 6</t>
        </is>
      </c>
      <c r="E209" s="4" t="inlineStr">
        <is>
          <t>Szkoły miejskie (SP nr 1-21)</t>
        </is>
      </c>
      <c r="F209" s="5">
        <v>20</v>
      </c>
      <c r="G209" s="8">
        <v>0.025</v>
      </c>
    </row>
    <row r="210" ht="19">
      <c r="A210" s="3">
        <v>2013</v>
      </c>
      <c r="B210" s="3">
        <v>7</v>
      </c>
      <c r="C210" s="3" t="inlineStr">
        <is>
          <t>OBWÓD 7</t>
        </is>
      </c>
      <c r="D210" s="4" t="inlineStr">
        <is>
          <t>SZKOŁA PODSTAWOWA NR 7</t>
        </is>
      </c>
      <c r="E210" s="4" t="inlineStr">
        <is>
          <t>Szkoły miejskie (SP nr 1-21)</t>
        </is>
      </c>
      <c r="F210" s="5">
        <v>43</v>
      </c>
      <c r="G210" s="8">
        <v>0.0538</v>
      </c>
    </row>
    <row r="211" ht="19">
      <c r="A211" s="3">
        <v>2013</v>
      </c>
      <c r="B211" s="3">
        <v>8</v>
      </c>
      <c r="C211" s="3" t="inlineStr">
        <is>
          <t>OBWÓD 8</t>
        </is>
      </c>
      <c r="D211" s="4" t="inlineStr">
        <is>
          <t>SZKOŁA PODSTAWOWA NR 8</t>
        </is>
      </c>
      <c r="E211" s="4" t="inlineStr">
        <is>
          <t>Szkoły miejskie (SP nr 1-21)</t>
        </is>
      </c>
      <c r="F211" s="5">
        <v>64</v>
      </c>
      <c r="G211" s="8">
        <v>0.08</v>
      </c>
    </row>
    <row r="212" ht="19">
      <c r="A212" s="3">
        <v>2013</v>
      </c>
      <c r="B212" s="3">
        <v>9</v>
      </c>
      <c r="C212" s="3" t="inlineStr">
        <is>
          <t>OBWÓD 9</t>
        </is>
      </c>
      <c r="D212" s="4" t="inlineStr">
        <is>
          <t>SZKOŁA PODSTAWOWA NR 9</t>
        </is>
      </c>
      <c r="E212" s="4" t="inlineStr">
        <is>
          <t>Szkoły miejskie (SP nr 1-21)</t>
        </is>
      </c>
      <c r="F212" s="5">
        <v>56</v>
      </c>
      <c r="G212" s="8">
        <v>0.07</v>
      </c>
    </row>
    <row r="213" ht="19">
      <c r="A213" s="3">
        <v>2013</v>
      </c>
      <c r="B213" s="3">
        <v>11</v>
      </c>
      <c r="C213" s="3" t="inlineStr">
        <is>
          <t>OBWÓD 11</t>
        </is>
      </c>
      <c r="D213" s="4" t="inlineStr">
        <is>
          <t>SZKOŁA PODSTAWOWA NR 11</t>
        </is>
      </c>
      <c r="E213" s="4" t="inlineStr">
        <is>
          <t>Szkoły miejskie (SP nr 1-21)</t>
        </is>
      </c>
      <c r="F213" s="5">
        <v>17</v>
      </c>
      <c r="G213" s="8">
        <v>0.0212</v>
      </c>
    </row>
    <row r="214" ht="19">
      <c r="A214" s="3">
        <v>2013</v>
      </c>
      <c r="B214" s="3">
        <v>14</v>
      </c>
      <c r="C214" s="3" t="inlineStr">
        <is>
          <t>OBWÓD 14</t>
        </is>
      </c>
      <c r="D214" s="4" t="inlineStr">
        <is>
          <t>SZKOŁA PODSTAWOWA NR 14</t>
        </is>
      </c>
      <c r="E214" s="4" t="inlineStr">
        <is>
          <t>Szkoły miejskie (SP nr 1-21)</t>
        </is>
      </c>
      <c r="F214" s="5">
        <v>15</v>
      </c>
      <c r="G214" s="8">
        <v>0.0188</v>
      </c>
    </row>
    <row r="215" ht="19">
      <c r="A215" s="3">
        <v>2013</v>
      </c>
      <c r="B215" s="3">
        <v>15</v>
      </c>
      <c r="C215" s="3" t="inlineStr">
        <is>
          <t>OBWÓD 15</t>
        </is>
      </c>
      <c r="D215" s="4" t="inlineStr">
        <is>
          <t>SZKOŁA PODSTAWOWA NR 15</t>
        </is>
      </c>
      <c r="E215" s="4" t="inlineStr">
        <is>
          <t>Szkoły miejskie (SP nr 1-21)</t>
        </is>
      </c>
      <c r="F215" s="5">
        <v>54</v>
      </c>
      <c r="G215" s="8">
        <v>0.0675</v>
      </c>
    </row>
    <row r="216" ht="19">
      <c r="A216" s="3">
        <v>2013</v>
      </c>
      <c r="B216" s="3">
        <v>16</v>
      </c>
      <c r="C216" s="3" t="inlineStr">
        <is>
          <t>OBWÓD 16</t>
        </is>
      </c>
      <c r="D216" s="4" t="inlineStr">
        <is>
          <t>SZKOŁA PODSTAWOWA NR 16</t>
        </is>
      </c>
      <c r="E216" s="4" t="inlineStr">
        <is>
          <t>Szkoły miejskie (SP nr 1-21)</t>
        </is>
      </c>
      <c r="F216" s="5">
        <v>54</v>
      </c>
      <c r="G216" s="8">
        <v>0.0675</v>
      </c>
    </row>
    <row r="217" ht="19">
      <c r="A217" s="3">
        <v>2013</v>
      </c>
      <c r="B217" s="3">
        <v>17</v>
      </c>
      <c r="C217" s="3" t="inlineStr">
        <is>
          <t>OBWÓD 17</t>
        </is>
      </c>
      <c r="D217" s="4" t="inlineStr">
        <is>
          <t>SZKOŁA PODSTAWOWA NR 17</t>
        </is>
      </c>
      <c r="E217" s="4" t="inlineStr">
        <is>
          <t>Szkoły miejskie (SP nr 1-21)</t>
        </is>
      </c>
      <c r="F217" s="5">
        <v>51</v>
      </c>
      <c r="G217" s="8">
        <v>0.0638</v>
      </c>
    </row>
    <row r="218" ht="19">
      <c r="A218" s="3">
        <v>2013</v>
      </c>
      <c r="B218" s="3">
        <v>18</v>
      </c>
      <c r="C218" s="3" t="inlineStr">
        <is>
          <t>OBWÓD 18</t>
        </is>
      </c>
      <c r="D218" s="4" t="inlineStr">
        <is>
          <t>SZKOŁA PODSTAWOWA NR 18</t>
        </is>
      </c>
      <c r="E218" s="4" t="inlineStr">
        <is>
          <t>Szkoły miejskie (SP nr 1-21)</t>
        </is>
      </c>
      <c r="F218" s="5">
        <v>79</v>
      </c>
      <c r="G218" s="8">
        <v>0.0988</v>
      </c>
    </row>
    <row r="219" ht="19">
      <c r="A219" s="3">
        <v>2013</v>
      </c>
      <c r="B219" s="3">
        <v>20</v>
      </c>
      <c r="C219" s="3" t="inlineStr">
        <is>
          <t>OBWÓD 20</t>
        </is>
      </c>
      <c r="D219" s="4" t="inlineStr">
        <is>
          <t>SZKOŁA PODSTAWOWA NR 20</t>
        </is>
      </c>
      <c r="E219" s="4" t="inlineStr">
        <is>
          <t>Szkoły miejskie (SP nr 1-21)</t>
        </is>
      </c>
      <c r="F219" s="5">
        <v>52</v>
      </c>
      <c r="G219" s="8">
        <v>0.065</v>
      </c>
    </row>
    <row r="220" ht="19">
      <c r="A220" s="3">
        <v>2013</v>
      </c>
      <c r="B220" s="3">
        <v>21</v>
      </c>
      <c r="C220" s="3" t="inlineStr">
        <is>
          <t>OBWÓD 21</t>
        </is>
      </c>
      <c r="D220" s="4" t="inlineStr">
        <is>
          <t>SZKOŁA PODSTAWOWA NR 21</t>
        </is>
      </c>
      <c r="E220" s="4" t="inlineStr">
        <is>
          <t>Szkoły miejskie (SP nr 1-21)</t>
        </is>
      </c>
      <c r="F220" s="5">
        <v>112</v>
      </c>
      <c r="G220" s="8">
        <v>0.14</v>
      </c>
    </row>
    <row r="221" ht="19">
      <c r="A221" s="3">
        <v>2013</v>
      </c>
      <c r="B221" s="3">
        <v>22</v>
      </c>
      <c r="C221" s="3" t="inlineStr">
        <is>
          <t>OBWÓD 22</t>
        </is>
      </c>
      <c r="D221" s="4" t="inlineStr">
        <is>
          <t>SZKOŁA PODSTAWOWA W CHEŁMCU</t>
        </is>
      </c>
      <c r="E221" s="4" t="inlineStr">
        <is>
          <t>Obwody podmiejskie (Chełmiec / Piątkowa)</t>
        </is>
      </c>
      <c r="F221" s="5">
        <v>24</v>
      </c>
      <c r="G221" s="8">
        <v>0.03</v>
      </c>
    </row>
    <row r="222" ht="19">
      <c r="A222" s="3">
        <v>2013</v>
      </c>
      <c r="B222" s="3">
        <v>23</v>
      </c>
      <c r="C222" s="3" t="inlineStr">
        <is>
          <t>OBWÓD 23</t>
        </is>
      </c>
      <c r="D222" s="4" t="inlineStr">
        <is>
          <t>SZKOŁA PODSTAWOWA W PIĄTKOWEJ</t>
        </is>
      </c>
      <c r="E222" s="4" t="inlineStr">
        <is>
          <t>Obwody podmiejskie (Chełmiec / Piątkowa)</t>
        </is>
      </c>
      <c r="F222" s="5">
        <v>16</v>
      </c>
      <c r="G222" s="8">
        <v>0.02</v>
      </c>
    </row>
    <row r="223" ht="19">
      <c r="A223" s="3">
        <v>2014</v>
      </c>
      <c r="B223" s="3">
        <v>1</v>
      </c>
      <c r="C223" s="3" t="inlineStr">
        <is>
          <t>OBWÓD 1</t>
        </is>
      </c>
      <c r="D223" s="4" t="inlineStr">
        <is>
          <t>SZKOŁA PODSTAWOWA NR 1</t>
        </is>
      </c>
      <c r="E223" s="4" t="inlineStr">
        <is>
          <t>Szkoły miejskie (SP nr 1-21)</t>
        </is>
      </c>
      <c r="F223" s="5">
        <v>46</v>
      </c>
      <c r="G223" s="8">
        <v>0.0565</v>
      </c>
    </row>
    <row r="224" ht="19">
      <c r="A224" s="3">
        <v>2014</v>
      </c>
      <c r="B224" s="3">
        <v>2</v>
      </c>
      <c r="C224" s="3" t="inlineStr">
        <is>
          <t>OBWÓD 2</t>
        </is>
      </c>
      <c r="D224" s="4" t="inlineStr">
        <is>
          <t>SZKOŁA PODSTAWOWA NR 2</t>
        </is>
      </c>
      <c r="E224" s="4" t="inlineStr">
        <is>
          <t>Szkoły miejskie (SP nr 1-21)</t>
        </is>
      </c>
      <c r="F224" s="5">
        <v>46</v>
      </c>
      <c r="G224" s="8">
        <v>0.0565</v>
      </c>
    </row>
    <row r="225" ht="19">
      <c r="A225" s="3">
        <v>2014</v>
      </c>
      <c r="B225" s="3">
        <v>3</v>
      </c>
      <c r="C225" s="3" t="inlineStr">
        <is>
          <t>OBWÓD 3</t>
        </is>
      </c>
      <c r="D225" s="4" t="inlineStr">
        <is>
          <t>SZKOŁA PODSTAWOWA NR 3</t>
        </is>
      </c>
      <c r="E225" s="4" t="inlineStr">
        <is>
          <t>Szkoły miejskie (SP nr 1-21)</t>
        </is>
      </c>
      <c r="F225" s="5">
        <v>65</v>
      </c>
      <c r="G225" s="8">
        <v>0.0799</v>
      </c>
    </row>
    <row r="226" ht="19">
      <c r="A226" s="3">
        <v>2014</v>
      </c>
      <c r="B226" s="3">
        <v>6</v>
      </c>
      <c r="C226" s="3" t="inlineStr">
        <is>
          <t>OBWÓD 6</t>
        </is>
      </c>
      <c r="D226" s="4" t="inlineStr">
        <is>
          <t>SZKOŁA PODSTAWOWA NR 6</t>
        </is>
      </c>
      <c r="E226" s="4" t="inlineStr">
        <is>
          <t>Szkoły miejskie (SP nr 1-21)</t>
        </is>
      </c>
      <c r="F226" s="5">
        <v>16</v>
      </c>
      <c r="G226" s="8">
        <v>0.0197</v>
      </c>
    </row>
    <row r="227" ht="19">
      <c r="A227" s="3">
        <v>2014</v>
      </c>
      <c r="B227" s="3">
        <v>7</v>
      </c>
      <c r="C227" s="3" t="inlineStr">
        <is>
          <t>OBWÓD 7</t>
        </is>
      </c>
      <c r="D227" s="4" t="inlineStr">
        <is>
          <t>SZKOŁA PODSTAWOWA NR 7</t>
        </is>
      </c>
      <c r="E227" s="4" t="inlineStr">
        <is>
          <t>Szkoły miejskie (SP nr 1-21)</t>
        </is>
      </c>
      <c r="F227" s="5">
        <v>39</v>
      </c>
      <c r="G227" s="8">
        <v>0.0479</v>
      </c>
    </row>
    <row r="228" ht="19">
      <c r="A228" s="3">
        <v>2014</v>
      </c>
      <c r="B228" s="3">
        <v>8</v>
      </c>
      <c r="C228" s="3" t="inlineStr">
        <is>
          <t>OBWÓD 8</t>
        </is>
      </c>
      <c r="D228" s="4" t="inlineStr">
        <is>
          <t>SZKOŁA PODSTAWOWA NR 8</t>
        </is>
      </c>
      <c r="E228" s="4" t="inlineStr">
        <is>
          <t>Szkoły miejskie (SP nr 1-21)</t>
        </is>
      </c>
      <c r="F228" s="5">
        <v>59</v>
      </c>
      <c r="G228" s="8">
        <v>0.0725</v>
      </c>
    </row>
    <row r="229" ht="19">
      <c r="A229" s="3">
        <v>2014</v>
      </c>
      <c r="B229" s="3">
        <v>9</v>
      </c>
      <c r="C229" s="3" t="inlineStr">
        <is>
          <t>OBWÓD 9</t>
        </is>
      </c>
      <c r="D229" s="4" t="inlineStr">
        <is>
          <t>SZKOŁA PODSTAWOWA NR 9</t>
        </is>
      </c>
      <c r="E229" s="4" t="inlineStr">
        <is>
          <t>Szkoły miejskie (SP nr 1-21)</t>
        </is>
      </c>
      <c r="F229" s="5">
        <v>63</v>
      </c>
      <c r="G229" s="8">
        <v>0.0774</v>
      </c>
    </row>
    <row r="230" ht="19">
      <c r="A230" s="3">
        <v>2014</v>
      </c>
      <c r="B230" s="3">
        <v>11</v>
      </c>
      <c r="C230" s="3" t="inlineStr">
        <is>
          <t>OBWÓD 11</t>
        </is>
      </c>
      <c r="D230" s="4" t="inlineStr">
        <is>
          <t>SZKOŁA PODSTAWOWA NR 11</t>
        </is>
      </c>
      <c r="E230" s="4" t="inlineStr">
        <is>
          <t>Szkoły miejskie (SP nr 1-21)</t>
        </is>
      </c>
      <c r="F230" s="5">
        <v>17</v>
      </c>
      <c r="G230" s="8">
        <v>0.0209</v>
      </c>
    </row>
    <row r="231" ht="19">
      <c r="A231" s="3">
        <v>2014</v>
      </c>
      <c r="B231" s="3">
        <v>14</v>
      </c>
      <c r="C231" s="3" t="inlineStr">
        <is>
          <t>OBWÓD 14</t>
        </is>
      </c>
      <c r="D231" s="4" t="inlineStr">
        <is>
          <t>SZKOŁA PODSTAWOWA NR 14</t>
        </is>
      </c>
      <c r="E231" s="4" t="inlineStr">
        <is>
          <t>Szkoły miejskie (SP nr 1-21)</t>
        </is>
      </c>
      <c r="F231" s="5">
        <v>11</v>
      </c>
      <c r="G231" s="8">
        <v>0.0135</v>
      </c>
    </row>
    <row r="232" ht="19">
      <c r="A232" s="3">
        <v>2014</v>
      </c>
      <c r="B232" s="3">
        <v>15</v>
      </c>
      <c r="C232" s="3" t="inlineStr">
        <is>
          <t>OBWÓD 15</t>
        </is>
      </c>
      <c r="D232" s="4" t="inlineStr">
        <is>
          <t>SZKOŁA PODSTAWOWA NR 15</t>
        </is>
      </c>
      <c r="E232" s="4" t="inlineStr">
        <is>
          <t>Szkoły miejskie (SP nr 1-21)</t>
        </is>
      </c>
      <c r="F232" s="5">
        <v>53</v>
      </c>
      <c r="G232" s="8">
        <v>0.0651</v>
      </c>
    </row>
    <row r="233" ht="19">
      <c r="A233" s="3">
        <v>2014</v>
      </c>
      <c r="B233" s="3">
        <v>16</v>
      </c>
      <c r="C233" s="3" t="inlineStr">
        <is>
          <t>OBWÓD 16</t>
        </is>
      </c>
      <c r="D233" s="4" t="inlineStr">
        <is>
          <t>SZKOŁA PODSTAWOWA NR 16</t>
        </is>
      </c>
      <c r="E233" s="4" t="inlineStr">
        <is>
          <t>Szkoły miejskie (SP nr 1-21)</t>
        </is>
      </c>
      <c r="F233" s="5">
        <v>68</v>
      </c>
      <c r="G233" s="8">
        <v>0.0835</v>
      </c>
    </row>
    <row r="234" ht="19">
      <c r="A234" s="3">
        <v>2014</v>
      </c>
      <c r="B234" s="3">
        <v>17</v>
      </c>
      <c r="C234" s="3" t="inlineStr">
        <is>
          <t>OBWÓD 17</t>
        </is>
      </c>
      <c r="D234" s="4" t="inlineStr">
        <is>
          <t>SZKOŁA PODSTAWOWA NR 17</t>
        </is>
      </c>
      <c r="E234" s="4" t="inlineStr">
        <is>
          <t>Szkoły miejskie (SP nr 1-21)</t>
        </is>
      </c>
      <c r="F234" s="5">
        <v>50</v>
      </c>
      <c r="G234" s="8">
        <v>0.0614</v>
      </c>
    </row>
    <row r="235" ht="19">
      <c r="A235" s="3">
        <v>2014</v>
      </c>
      <c r="B235" s="3">
        <v>18</v>
      </c>
      <c r="C235" s="3" t="inlineStr">
        <is>
          <t>OBWÓD 18</t>
        </is>
      </c>
      <c r="D235" s="4" t="inlineStr">
        <is>
          <t>SZKOŁA PODSTAWOWA NR 18</t>
        </is>
      </c>
      <c r="E235" s="4" t="inlineStr">
        <is>
          <t>Szkoły miejskie (SP nr 1-21)</t>
        </is>
      </c>
      <c r="F235" s="5">
        <v>80</v>
      </c>
      <c r="G235" s="8">
        <v>0.0983</v>
      </c>
    </row>
    <row r="236" ht="19">
      <c r="A236" s="3">
        <v>2014</v>
      </c>
      <c r="B236" s="3">
        <v>20</v>
      </c>
      <c r="C236" s="3" t="inlineStr">
        <is>
          <t>OBWÓD 20</t>
        </is>
      </c>
      <c r="D236" s="4" t="inlineStr">
        <is>
          <t>SZKOŁA PODSTAWOWA NR 20</t>
        </is>
      </c>
      <c r="E236" s="4" t="inlineStr">
        <is>
          <t>Szkoły miejskie (SP nr 1-21)</t>
        </is>
      </c>
      <c r="F236" s="5">
        <v>55</v>
      </c>
      <c r="G236" s="8">
        <v>0.0676</v>
      </c>
    </row>
    <row r="237" ht="19">
      <c r="A237" s="3">
        <v>2014</v>
      </c>
      <c r="B237" s="3">
        <v>21</v>
      </c>
      <c r="C237" s="3" t="inlineStr">
        <is>
          <t>OBWÓD 21</t>
        </is>
      </c>
      <c r="D237" s="4" t="inlineStr">
        <is>
          <t>SZKOŁA PODSTAWOWA NR 21</t>
        </is>
      </c>
      <c r="E237" s="4" t="inlineStr">
        <is>
          <t>Szkoły miejskie (SP nr 1-21)</t>
        </is>
      </c>
      <c r="F237" s="5">
        <v>87</v>
      </c>
      <c r="G237" s="8">
        <v>0.1069</v>
      </c>
    </row>
    <row r="238" ht="19">
      <c r="A238" s="3">
        <v>2014</v>
      </c>
      <c r="B238" s="3">
        <v>22</v>
      </c>
      <c r="C238" s="3" t="inlineStr">
        <is>
          <t>OBWÓD 22</t>
        </is>
      </c>
      <c r="D238" s="4" t="inlineStr">
        <is>
          <t>SZKOŁA PODSTAWOWA W CHEŁMCU</t>
        </is>
      </c>
      <c r="E238" s="4" t="inlineStr">
        <is>
          <t>Obwody podmiejskie (Chełmiec / Piątkowa)</t>
        </is>
      </c>
      <c r="F238" s="5">
        <v>40</v>
      </c>
      <c r="G238" s="8">
        <v>0.0491</v>
      </c>
    </row>
    <row r="239" ht="19">
      <c r="A239" s="3">
        <v>2014</v>
      </c>
      <c r="B239" s="3">
        <v>23</v>
      </c>
      <c r="C239" s="3" t="inlineStr">
        <is>
          <t>OBWÓD 23</t>
        </is>
      </c>
      <c r="D239" s="4" t="inlineStr">
        <is>
          <t>SZKOŁA PODSTAWOWA W PIĄTKOWEJ</t>
        </is>
      </c>
      <c r="E239" s="4" t="inlineStr">
        <is>
          <t>Obwody podmiejskie (Chełmiec / Piątkowa)</t>
        </is>
      </c>
      <c r="F239" s="5">
        <v>19</v>
      </c>
      <c r="G239" s="8">
        <v>0.0233</v>
      </c>
    </row>
    <row r="240" ht="19">
      <c r="A240" s="3">
        <v>2015</v>
      </c>
      <c r="B240" s="3">
        <v>1</v>
      </c>
      <c r="C240" s="3" t="inlineStr">
        <is>
          <t>OBWÓD 1</t>
        </is>
      </c>
      <c r="D240" s="4" t="inlineStr">
        <is>
          <t>SZKOŁA PODSTAWOWA NR 1</t>
        </is>
      </c>
      <c r="E240" s="4" t="inlineStr">
        <is>
          <t>Szkoły miejskie (SP nr 1-21)</t>
        </is>
      </c>
      <c r="F240" s="5">
        <v>37</v>
      </c>
      <c r="G240" s="8">
        <v>0.0488</v>
      </c>
    </row>
    <row r="241" ht="19">
      <c r="A241" s="3">
        <v>2015</v>
      </c>
      <c r="B241" s="3">
        <v>2</v>
      </c>
      <c r="C241" s="3" t="inlineStr">
        <is>
          <t>OBWÓD 2</t>
        </is>
      </c>
      <c r="D241" s="4" t="inlineStr">
        <is>
          <t>SZKOŁA PODSTAWOWA NR 2</t>
        </is>
      </c>
      <c r="E241" s="4" t="inlineStr">
        <is>
          <t>Szkoły miejskie (SP nr 1-21)</t>
        </is>
      </c>
      <c r="F241" s="5">
        <v>47</v>
      </c>
      <c r="G241" s="8">
        <v>0.062</v>
      </c>
    </row>
    <row r="242" ht="19">
      <c r="A242" s="3">
        <v>2015</v>
      </c>
      <c r="B242" s="3">
        <v>3</v>
      </c>
      <c r="C242" s="3" t="inlineStr">
        <is>
          <t>OBWÓD 3</t>
        </is>
      </c>
      <c r="D242" s="4" t="inlineStr">
        <is>
          <t>SZKOŁA PODSTAWOWA NR 3</t>
        </is>
      </c>
      <c r="E242" s="4" t="inlineStr">
        <is>
          <t>Szkoły miejskie (SP nr 1-21)</t>
        </is>
      </c>
      <c r="F242" s="5">
        <v>85</v>
      </c>
      <c r="G242" s="8">
        <v>0.1121</v>
      </c>
    </row>
    <row r="243" ht="19">
      <c r="A243" s="3">
        <v>2015</v>
      </c>
      <c r="B243" s="3">
        <v>6</v>
      </c>
      <c r="C243" s="3" t="inlineStr">
        <is>
          <t>OBWÓD 6</t>
        </is>
      </c>
      <c r="D243" s="4" t="inlineStr">
        <is>
          <t>SZKOŁA PODSTAWOWA NR 6</t>
        </is>
      </c>
      <c r="E243" s="4" t="inlineStr">
        <is>
          <t>Szkoły miejskie (SP nr 1-21)</t>
        </is>
      </c>
      <c r="F243" s="5">
        <v>17</v>
      </c>
      <c r="G243" s="8">
        <v>0.0224</v>
      </c>
    </row>
    <row r="244" ht="19">
      <c r="A244" s="3">
        <v>2015</v>
      </c>
      <c r="B244" s="3">
        <v>7</v>
      </c>
      <c r="C244" s="3" t="inlineStr">
        <is>
          <t>OBWÓD 7</t>
        </is>
      </c>
      <c r="D244" s="4" t="inlineStr">
        <is>
          <t>SZKOŁA PODSTAWOWA NR 7</t>
        </is>
      </c>
      <c r="E244" s="4" t="inlineStr">
        <is>
          <t>Szkoły miejskie (SP nr 1-21)</t>
        </is>
      </c>
      <c r="F244" s="5">
        <v>38</v>
      </c>
      <c r="G244" s="8">
        <v>0.0501</v>
      </c>
    </row>
    <row r="245" ht="19">
      <c r="A245" s="3">
        <v>2015</v>
      </c>
      <c r="B245" s="3">
        <v>8</v>
      </c>
      <c r="C245" s="3" t="inlineStr">
        <is>
          <t>OBWÓD 8</t>
        </is>
      </c>
      <c r="D245" s="4" t="inlineStr">
        <is>
          <t>SZKOŁA PODSTAWOWA NR 8</t>
        </is>
      </c>
      <c r="E245" s="4" t="inlineStr">
        <is>
          <t>Szkoły miejskie (SP nr 1-21)</t>
        </is>
      </c>
      <c r="F245" s="5">
        <v>51</v>
      </c>
      <c r="G245" s="8">
        <v>0.0673</v>
      </c>
    </row>
    <row r="246" ht="19">
      <c r="A246" s="3">
        <v>2015</v>
      </c>
      <c r="B246" s="3">
        <v>9</v>
      </c>
      <c r="C246" s="3" t="inlineStr">
        <is>
          <t>OBWÓD 9</t>
        </is>
      </c>
      <c r="D246" s="4" t="inlineStr">
        <is>
          <t>SZKOŁA PODSTAWOWA NR 9</t>
        </is>
      </c>
      <c r="E246" s="4" t="inlineStr">
        <is>
          <t>Szkoły miejskie (SP nr 1-21)</t>
        </is>
      </c>
      <c r="F246" s="5">
        <v>62</v>
      </c>
      <c r="G246" s="8">
        <v>0.0818</v>
      </c>
    </row>
    <row r="247" ht="19">
      <c r="A247" s="3">
        <v>2015</v>
      </c>
      <c r="B247" s="3">
        <v>11</v>
      </c>
      <c r="C247" s="3" t="inlineStr">
        <is>
          <t>OBWÓD 11</t>
        </is>
      </c>
      <c r="D247" s="4" t="inlineStr">
        <is>
          <t>SZKOŁA PODSTAWOWA NR 11</t>
        </is>
      </c>
      <c r="E247" s="4" t="inlineStr">
        <is>
          <t>Szkoły miejskie (SP nr 1-21)</t>
        </is>
      </c>
      <c r="F247" s="5">
        <v>22</v>
      </c>
      <c r="G247" s="8">
        <v>0.029</v>
      </c>
    </row>
    <row r="248" ht="19">
      <c r="A248" s="3">
        <v>2015</v>
      </c>
      <c r="B248" s="3">
        <v>14</v>
      </c>
      <c r="C248" s="3" t="inlineStr">
        <is>
          <t>OBWÓD 14</t>
        </is>
      </c>
      <c r="D248" s="4" t="inlineStr">
        <is>
          <t>SZKOŁA PODSTAWOWA NR 14</t>
        </is>
      </c>
      <c r="E248" s="4" t="inlineStr">
        <is>
          <t>Szkoły miejskie (SP nr 1-21)</t>
        </is>
      </c>
      <c r="F248" s="5">
        <v>18</v>
      </c>
      <c r="G248" s="8">
        <v>0.0237</v>
      </c>
    </row>
    <row r="249" ht="19">
      <c r="A249" s="3">
        <v>2015</v>
      </c>
      <c r="B249" s="3">
        <v>15</v>
      </c>
      <c r="C249" s="3" t="inlineStr">
        <is>
          <t>OBWÓD 15</t>
        </is>
      </c>
      <c r="D249" s="4" t="inlineStr">
        <is>
          <t>SZKOŁA PODSTAWOWA NR 15</t>
        </is>
      </c>
      <c r="E249" s="4" t="inlineStr">
        <is>
          <t>Szkoły miejskie (SP nr 1-21)</t>
        </is>
      </c>
      <c r="F249" s="5">
        <v>55</v>
      </c>
      <c r="G249" s="8">
        <v>0.0726</v>
      </c>
    </row>
    <row r="250" ht="19">
      <c r="A250" s="3">
        <v>2015</v>
      </c>
      <c r="B250" s="3">
        <v>16</v>
      </c>
      <c r="C250" s="3" t="inlineStr">
        <is>
          <t>OBWÓD 16</t>
        </is>
      </c>
      <c r="D250" s="4" t="inlineStr">
        <is>
          <t>SZKOŁA PODSTAWOWA NR 16</t>
        </is>
      </c>
      <c r="E250" s="4" t="inlineStr">
        <is>
          <t>Szkoły miejskie (SP nr 1-21)</t>
        </is>
      </c>
      <c r="F250" s="5">
        <v>63</v>
      </c>
      <c r="G250" s="8">
        <v>0.0831</v>
      </c>
    </row>
    <row r="251" ht="19">
      <c r="A251" s="3">
        <v>2015</v>
      </c>
      <c r="B251" s="3">
        <v>17</v>
      </c>
      <c r="C251" s="3" t="inlineStr">
        <is>
          <t>OBWÓD 17</t>
        </is>
      </c>
      <c r="D251" s="4" t="inlineStr">
        <is>
          <t>SZKOŁA PODSTAWOWA NR 17</t>
        </is>
      </c>
      <c r="E251" s="4" t="inlineStr">
        <is>
          <t>Szkoły miejskie (SP nr 1-21)</t>
        </is>
      </c>
      <c r="F251" s="5">
        <v>41</v>
      </c>
      <c r="G251" s="8">
        <v>0.0541</v>
      </c>
    </row>
    <row r="252" ht="19">
      <c r="A252" s="3">
        <v>2015</v>
      </c>
      <c r="B252" s="3">
        <v>18</v>
      </c>
      <c r="C252" s="3" t="inlineStr">
        <is>
          <t>OBWÓD 18</t>
        </is>
      </c>
      <c r="D252" s="4" t="inlineStr">
        <is>
          <t>SZKOŁA PODSTAWOWA NR 18</t>
        </is>
      </c>
      <c r="E252" s="4" t="inlineStr">
        <is>
          <t>Szkoły miejskie (SP nr 1-21)</t>
        </is>
      </c>
      <c r="F252" s="5">
        <v>50</v>
      </c>
      <c r="G252" s="8">
        <v>0.066</v>
      </c>
    </row>
    <row r="253" ht="19">
      <c r="A253" s="3">
        <v>2015</v>
      </c>
      <c r="B253" s="3">
        <v>20</v>
      </c>
      <c r="C253" s="3" t="inlineStr">
        <is>
          <t>OBWÓD 20</t>
        </is>
      </c>
      <c r="D253" s="4" t="inlineStr">
        <is>
          <t>SZKOŁA PODSTAWOWA NR 20</t>
        </is>
      </c>
      <c r="E253" s="4" t="inlineStr">
        <is>
          <t>Szkoły miejskie (SP nr 1-21)</t>
        </is>
      </c>
      <c r="F253" s="5">
        <v>50</v>
      </c>
      <c r="G253" s="8">
        <v>0.066</v>
      </c>
    </row>
    <row r="254" ht="19">
      <c r="A254" s="3">
        <v>2015</v>
      </c>
      <c r="B254" s="3">
        <v>21</v>
      </c>
      <c r="C254" s="3" t="inlineStr">
        <is>
          <t>OBWÓD 21</t>
        </is>
      </c>
      <c r="D254" s="4" t="inlineStr">
        <is>
          <t>SZKOŁA PODSTAWOWA NR 21</t>
        </is>
      </c>
      <c r="E254" s="4" t="inlineStr">
        <is>
          <t>Szkoły miejskie (SP nr 1-21)</t>
        </is>
      </c>
      <c r="F254" s="5">
        <v>75</v>
      </c>
      <c r="G254" s="8">
        <v>0.0989</v>
      </c>
    </row>
    <row r="255" ht="19">
      <c r="A255" s="3">
        <v>2015</v>
      </c>
      <c r="B255" s="3">
        <v>22</v>
      </c>
      <c r="C255" s="3" t="inlineStr">
        <is>
          <t>OBWÓD 22</t>
        </is>
      </c>
      <c r="D255" s="4" t="inlineStr">
        <is>
          <t>SZKOŁA PODSTAWOWA W CHEŁMCU</t>
        </is>
      </c>
      <c r="E255" s="4" t="inlineStr">
        <is>
          <t>Obwody podmiejskie (Chełmiec / Piątkowa)</t>
        </is>
      </c>
      <c r="F255" s="5">
        <v>25</v>
      </c>
      <c r="G255" s="8">
        <v>0.033</v>
      </c>
    </row>
    <row r="256" ht="19">
      <c r="A256" s="3">
        <v>2015</v>
      </c>
      <c r="B256" s="3">
        <v>23</v>
      </c>
      <c r="C256" s="3" t="inlineStr">
        <is>
          <t>OBWÓD 23</t>
        </is>
      </c>
      <c r="D256" s="4" t="inlineStr">
        <is>
          <t>SZKOŁA PODSTAWOWA W PIĄTKOWEJ</t>
        </is>
      </c>
      <c r="E256" s="4" t="inlineStr">
        <is>
          <t>Obwody podmiejskie (Chełmiec / Piątkowa)</t>
        </is>
      </c>
      <c r="F256" s="5">
        <v>22</v>
      </c>
      <c r="G256" s="8">
        <v>0.029</v>
      </c>
    </row>
    <row r="257" ht="19">
      <c r="A257" s="3">
        <v>2016</v>
      </c>
      <c r="B257" s="3">
        <v>1</v>
      </c>
      <c r="C257" s="3" t="inlineStr">
        <is>
          <t>OBWÓD 1</t>
        </is>
      </c>
      <c r="D257" s="4" t="inlineStr">
        <is>
          <t>SZKOŁA PODSTAWOWA NR 1</t>
        </is>
      </c>
      <c r="E257" s="4" t="inlineStr">
        <is>
          <t>Szkoły miejskie (SP nr 1-21)</t>
        </is>
      </c>
      <c r="F257" s="5">
        <v>52</v>
      </c>
      <c r="G257" s="8">
        <v>0.0596</v>
      </c>
    </row>
    <row r="258" ht="19">
      <c r="A258" s="3">
        <v>2016</v>
      </c>
      <c r="B258" s="3">
        <v>2</v>
      </c>
      <c r="C258" s="3" t="inlineStr">
        <is>
          <t>OBWÓD 2</t>
        </is>
      </c>
      <c r="D258" s="4" t="inlineStr">
        <is>
          <t>SZKOŁA PODSTAWOWA NR 2</t>
        </is>
      </c>
      <c r="E258" s="4" t="inlineStr">
        <is>
          <t>Szkoły miejskie (SP nr 1-21)</t>
        </is>
      </c>
      <c r="F258" s="5">
        <v>49</v>
      </c>
      <c r="G258" s="8">
        <v>0.0562</v>
      </c>
    </row>
    <row r="259" ht="19">
      <c r="A259" s="3">
        <v>2016</v>
      </c>
      <c r="B259" s="3">
        <v>3</v>
      </c>
      <c r="C259" s="3" t="inlineStr">
        <is>
          <t>OBWÓD 3</t>
        </is>
      </c>
      <c r="D259" s="4" t="inlineStr">
        <is>
          <t>SZKOŁA PODSTAWOWA NR 3</t>
        </is>
      </c>
      <c r="E259" s="4" t="inlineStr">
        <is>
          <t>Szkoły miejskie (SP nr 1-21)</t>
        </is>
      </c>
      <c r="F259" s="5">
        <v>78</v>
      </c>
      <c r="G259" s="8">
        <v>0.0894</v>
      </c>
    </row>
    <row r="260" ht="19">
      <c r="A260" s="3">
        <v>2016</v>
      </c>
      <c r="B260" s="3">
        <v>6</v>
      </c>
      <c r="C260" s="3" t="inlineStr">
        <is>
          <t>OBWÓD 6</t>
        </is>
      </c>
      <c r="D260" s="4" t="inlineStr">
        <is>
          <t>SZKOŁA PODSTAWOWA NR 6</t>
        </is>
      </c>
      <c r="E260" s="4" t="inlineStr">
        <is>
          <t>Szkoły miejskie (SP nr 1-21)</t>
        </is>
      </c>
      <c r="F260" s="5">
        <v>17</v>
      </c>
      <c r="G260" s="8">
        <v>0.0195</v>
      </c>
    </row>
    <row r="261" ht="19">
      <c r="A261" s="3">
        <v>2016</v>
      </c>
      <c r="B261" s="3">
        <v>7</v>
      </c>
      <c r="C261" s="3" t="inlineStr">
        <is>
          <t>OBWÓD 7</t>
        </is>
      </c>
      <c r="D261" s="4" t="inlineStr">
        <is>
          <t>SZKOŁA PODSTAWOWA NR 7</t>
        </is>
      </c>
      <c r="E261" s="4" t="inlineStr">
        <is>
          <t>Szkoły miejskie (SP nr 1-21)</t>
        </is>
      </c>
      <c r="F261" s="5">
        <v>36</v>
      </c>
      <c r="G261" s="8">
        <v>0.0413</v>
      </c>
    </row>
    <row r="262" ht="19">
      <c r="A262" s="3">
        <v>2016</v>
      </c>
      <c r="B262" s="3">
        <v>8</v>
      </c>
      <c r="C262" s="3" t="inlineStr">
        <is>
          <t>OBWÓD 8</t>
        </is>
      </c>
      <c r="D262" s="4" t="inlineStr">
        <is>
          <t>SZKOŁA PODSTAWOWA NR 8</t>
        </is>
      </c>
      <c r="E262" s="4" t="inlineStr">
        <is>
          <t>Szkoły miejskie (SP nr 1-21)</t>
        </is>
      </c>
      <c r="F262" s="5">
        <v>73</v>
      </c>
      <c r="G262" s="8">
        <v>0.0837</v>
      </c>
    </row>
    <row r="263" ht="19">
      <c r="A263" s="3">
        <v>2016</v>
      </c>
      <c r="B263" s="3">
        <v>9</v>
      </c>
      <c r="C263" s="3" t="inlineStr">
        <is>
          <t>OBWÓD 9</t>
        </is>
      </c>
      <c r="D263" s="4" t="inlineStr">
        <is>
          <t>SZKOŁA PODSTAWOWA NR 9</t>
        </is>
      </c>
      <c r="E263" s="4" t="inlineStr">
        <is>
          <t>Szkoły miejskie (SP nr 1-21)</t>
        </is>
      </c>
      <c r="F263" s="5">
        <v>70</v>
      </c>
      <c r="G263" s="8">
        <v>0.0803</v>
      </c>
    </row>
    <row r="264" ht="19">
      <c r="A264" s="3">
        <v>2016</v>
      </c>
      <c r="B264" s="3">
        <v>11</v>
      </c>
      <c r="C264" s="3" t="inlineStr">
        <is>
          <t>OBWÓD 11</t>
        </is>
      </c>
      <c r="D264" s="4" t="inlineStr">
        <is>
          <t>SZKOŁA PODSTAWOWA NR 11</t>
        </is>
      </c>
      <c r="E264" s="4" t="inlineStr">
        <is>
          <t>Szkoły miejskie (SP nr 1-21)</t>
        </is>
      </c>
      <c r="F264" s="5">
        <v>24</v>
      </c>
      <c r="G264" s="8">
        <v>0.0275</v>
      </c>
    </row>
    <row r="265" ht="19">
      <c r="A265" s="3">
        <v>2016</v>
      </c>
      <c r="B265" s="3">
        <v>14</v>
      </c>
      <c r="C265" s="3" t="inlineStr">
        <is>
          <t>OBWÓD 14</t>
        </is>
      </c>
      <c r="D265" s="4" t="inlineStr">
        <is>
          <t>SZKOŁA PODSTAWOWA NR 14</t>
        </is>
      </c>
      <c r="E265" s="4" t="inlineStr">
        <is>
          <t>Szkoły miejskie (SP nr 1-21)</t>
        </is>
      </c>
      <c r="F265" s="5">
        <v>14</v>
      </c>
      <c r="G265" s="8">
        <v>0.0161</v>
      </c>
    </row>
    <row r="266" ht="19">
      <c r="A266" s="3">
        <v>2016</v>
      </c>
      <c r="B266" s="3">
        <v>15</v>
      </c>
      <c r="C266" s="3" t="inlineStr">
        <is>
          <t>OBWÓD 15</t>
        </is>
      </c>
      <c r="D266" s="4" t="inlineStr">
        <is>
          <t>SZKOŁA PODSTAWOWA NR 15</t>
        </is>
      </c>
      <c r="E266" s="4" t="inlineStr">
        <is>
          <t>Szkoły miejskie (SP nr 1-21)</t>
        </is>
      </c>
      <c r="F266" s="5">
        <v>53</v>
      </c>
      <c r="G266" s="8">
        <v>0.0608</v>
      </c>
    </row>
    <row r="267" ht="19">
      <c r="A267" s="3">
        <v>2016</v>
      </c>
      <c r="B267" s="3">
        <v>16</v>
      </c>
      <c r="C267" s="3" t="inlineStr">
        <is>
          <t>OBWÓD 16</t>
        </is>
      </c>
      <c r="D267" s="4" t="inlineStr">
        <is>
          <t>SZKOŁA PODSTAWOWA NR 16</t>
        </is>
      </c>
      <c r="E267" s="4" t="inlineStr">
        <is>
          <t>Szkoły miejskie (SP nr 1-21)</t>
        </is>
      </c>
      <c r="F267" s="5">
        <v>77</v>
      </c>
      <c r="G267" s="8">
        <v>0.0883</v>
      </c>
    </row>
    <row r="268" ht="19">
      <c r="A268" s="3">
        <v>2016</v>
      </c>
      <c r="B268" s="3">
        <v>17</v>
      </c>
      <c r="C268" s="3" t="inlineStr">
        <is>
          <t>OBWÓD 17</t>
        </is>
      </c>
      <c r="D268" s="4" t="inlineStr">
        <is>
          <t>SZKOŁA PODSTAWOWA NR 17</t>
        </is>
      </c>
      <c r="E268" s="4" t="inlineStr">
        <is>
          <t>Szkoły miejskie (SP nr 1-21)</t>
        </is>
      </c>
      <c r="F268" s="5">
        <v>45</v>
      </c>
      <c r="G268" s="8">
        <v>0.0516</v>
      </c>
    </row>
    <row r="269" ht="19">
      <c r="A269" s="3">
        <v>2016</v>
      </c>
      <c r="B269" s="3">
        <v>18</v>
      </c>
      <c r="C269" s="3" t="inlineStr">
        <is>
          <t>OBWÓD 18</t>
        </is>
      </c>
      <c r="D269" s="4" t="inlineStr">
        <is>
          <t>SZKOŁA PODSTAWOWA NR 18</t>
        </is>
      </c>
      <c r="E269" s="4" t="inlineStr">
        <is>
          <t>Szkoły miejskie (SP nr 1-21)</t>
        </is>
      </c>
      <c r="F269" s="5">
        <v>68</v>
      </c>
      <c r="G269" s="8">
        <v>0.078</v>
      </c>
    </row>
    <row r="270" ht="19">
      <c r="A270" s="3">
        <v>2016</v>
      </c>
      <c r="B270" s="3">
        <v>20</v>
      </c>
      <c r="C270" s="3" t="inlineStr">
        <is>
          <t>OBWÓD 20</t>
        </is>
      </c>
      <c r="D270" s="4" t="inlineStr">
        <is>
          <t>SZKOŁA PODSTAWOWA NR 20</t>
        </is>
      </c>
      <c r="E270" s="4" t="inlineStr">
        <is>
          <t>Szkoły miejskie (SP nr 1-21)</t>
        </is>
      </c>
      <c r="F270" s="5">
        <v>61</v>
      </c>
      <c r="G270" s="8">
        <v>0.07</v>
      </c>
    </row>
    <row r="271" ht="19">
      <c r="A271" s="3">
        <v>2016</v>
      </c>
      <c r="B271" s="3">
        <v>21</v>
      </c>
      <c r="C271" s="3" t="inlineStr">
        <is>
          <t>OBWÓD 21</t>
        </is>
      </c>
      <c r="D271" s="4" t="inlineStr">
        <is>
          <t>SZKOŁA PODSTAWOWA NR 21</t>
        </is>
      </c>
      <c r="E271" s="4" t="inlineStr">
        <is>
          <t>Szkoły miejskie (SP nr 1-21)</t>
        </is>
      </c>
      <c r="F271" s="5">
        <v>112</v>
      </c>
      <c r="G271" s="8">
        <v>0.1284</v>
      </c>
    </row>
    <row r="272" ht="19">
      <c r="A272" s="3">
        <v>2016</v>
      </c>
      <c r="B272" s="3">
        <v>22</v>
      </c>
      <c r="C272" s="3" t="inlineStr">
        <is>
          <t>OBWÓD 22</t>
        </is>
      </c>
      <c r="D272" s="4" t="inlineStr">
        <is>
          <t>SZKOŁA PODSTAWOWA W CHEŁMCU</t>
        </is>
      </c>
      <c r="E272" s="4" t="inlineStr">
        <is>
          <t>Obwody podmiejskie (Chełmiec / Piątkowa)</t>
        </is>
      </c>
      <c r="F272" s="5">
        <v>25</v>
      </c>
      <c r="G272" s="8">
        <v>0.0287</v>
      </c>
    </row>
    <row r="273" ht="19">
      <c r="A273" s="3">
        <v>2016</v>
      </c>
      <c r="B273" s="3">
        <v>23</v>
      </c>
      <c r="C273" s="3" t="inlineStr">
        <is>
          <t>OBWÓD 23</t>
        </is>
      </c>
      <c r="D273" s="4" t="inlineStr">
        <is>
          <t>SZKOŁA PODSTAWOWA W PIĄTKOWEJ</t>
        </is>
      </c>
      <c r="E273" s="4" t="inlineStr">
        <is>
          <t>Obwody podmiejskie (Chełmiec / Piątkowa)</t>
        </is>
      </c>
      <c r="F273" s="5">
        <v>18</v>
      </c>
      <c r="G273" s="8">
        <v>0.0206</v>
      </c>
    </row>
    <row r="274" ht="19">
      <c r="A274" s="3">
        <v>2017</v>
      </c>
      <c r="B274" s="3">
        <v>1</v>
      </c>
      <c r="C274" s="3" t="inlineStr">
        <is>
          <t>OBWÓD 1</t>
        </is>
      </c>
      <c r="D274" s="4" t="inlineStr">
        <is>
          <t>SZKOŁA PODSTAWOWA NR 1</t>
        </is>
      </c>
      <c r="E274" s="4" t="inlineStr">
        <is>
          <t>Szkoły miejskie (SP nr 1-21)</t>
        </is>
      </c>
      <c r="F274" s="5">
        <v>34</v>
      </c>
      <c r="G274" s="8">
        <v>0.0392</v>
      </c>
    </row>
    <row r="275" ht="19">
      <c r="A275" s="3">
        <v>2017</v>
      </c>
      <c r="B275" s="3">
        <v>2</v>
      </c>
      <c r="C275" s="3" t="inlineStr">
        <is>
          <t>OBWÓD 2</t>
        </is>
      </c>
      <c r="D275" s="4" t="inlineStr">
        <is>
          <t>SZKOŁA PODSTAWOWA NR 2</t>
        </is>
      </c>
      <c r="E275" s="4" t="inlineStr">
        <is>
          <t>Szkoły miejskie (SP nr 1-21)</t>
        </is>
      </c>
      <c r="F275" s="5">
        <v>57</v>
      </c>
      <c r="G275" s="8">
        <v>0.0657</v>
      </c>
    </row>
    <row r="276" ht="19">
      <c r="A276" s="3">
        <v>2017</v>
      </c>
      <c r="B276" s="3">
        <v>3</v>
      </c>
      <c r="C276" s="3" t="inlineStr">
        <is>
          <t>OBWÓD 3</t>
        </is>
      </c>
      <c r="D276" s="4" t="inlineStr">
        <is>
          <t>SZKOŁA PODSTAWOWA NR 3</t>
        </is>
      </c>
      <c r="E276" s="4" t="inlineStr">
        <is>
          <t>Szkoły miejskie (SP nr 1-21)</t>
        </is>
      </c>
      <c r="F276" s="5">
        <v>74</v>
      </c>
      <c r="G276" s="8">
        <v>0.0854</v>
      </c>
    </row>
    <row r="277" ht="19">
      <c r="A277" s="3">
        <v>2017</v>
      </c>
      <c r="B277" s="3">
        <v>6</v>
      </c>
      <c r="C277" s="3" t="inlineStr">
        <is>
          <t>OBWÓD 6</t>
        </is>
      </c>
      <c r="D277" s="4" t="inlineStr">
        <is>
          <t>SZKOŁA PODSTAWOWA NR 6</t>
        </is>
      </c>
      <c r="E277" s="4" t="inlineStr">
        <is>
          <t>Szkoły miejskie (SP nr 1-21)</t>
        </is>
      </c>
      <c r="F277" s="5">
        <v>19</v>
      </c>
      <c r="G277" s="8">
        <v>0.0219</v>
      </c>
    </row>
    <row r="278" ht="19">
      <c r="A278" s="3">
        <v>2017</v>
      </c>
      <c r="B278" s="3">
        <v>7</v>
      </c>
      <c r="C278" s="3" t="inlineStr">
        <is>
          <t>OBWÓD 7</t>
        </is>
      </c>
      <c r="D278" s="4" t="inlineStr">
        <is>
          <t>SZKOŁA PODSTAWOWA NR 7</t>
        </is>
      </c>
      <c r="E278" s="4" t="inlineStr">
        <is>
          <t>Szkoły miejskie (SP nr 1-21)</t>
        </is>
      </c>
      <c r="F278" s="5">
        <v>37</v>
      </c>
      <c r="G278" s="8">
        <v>0.0427</v>
      </c>
    </row>
    <row r="279" ht="19">
      <c r="A279" s="3">
        <v>2017</v>
      </c>
      <c r="B279" s="3">
        <v>8</v>
      </c>
      <c r="C279" s="3" t="inlineStr">
        <is>
          <t>OBWÓD 8</t>
        </is>
      </c>
      <c r="D279" s="4" t="inlineStr">
        <is>
          <t>SZKOŁA PODSTAWOWA NR 8</t>
        </is>
      </c>
      <c r="E279" s="4" t="inlineStr">
        <is>
          <t>Szkoły miejskie (SP nr 1-21)</t>
        </is>
      </c>
      <c r="F279" s="5">
        <v>51</v>
      </c>
      <c r="G279" s="8">
        <v>0.0588</v>
      </c>
    </row>
    <row r="280" ht="19">
      <c r="A280" s="3">
        <v>2017</v>
      </c>
      <c r="B280" s="3">
        <v>9</v>
      </c>
      <c r="C280" s="3" t="inlineStr">
        <is>
          <t>OBWÓD 9</t>
        </is>
      </c>
      <c r="D280" s="4" t="inlineStr">
        <is>
          <t>SZKOŁA PODSTAWOWA NR 9</t>
        </is>
      </c>
      <c r="E280" s="4" t="inlineStr">
        <is>
          <t>Szkoły miejskie (SP nr 1-21)</t>
        </is>
      </c>
      <c r="F280" s="5">
        <v>84</v>
      </c>
      <c r="G280" s="8">
        <v>0.0969</v>
      </c>
    </row>
    <row r="281" ht="19">
      <c r="A281" s="3">
        <v>2017</v>
      </c>
      <c r="B281" s="3">
        <v>11</v>
      </c>
      <c r="C281" s="3" t="inlineStr">
        <is>
          <t>OBWÓD 11</t>
        </is>
      </c>
      <c r="D281" s="4" t="inlineStr">
        <is>
          <t>SZKOŁA PODSTAWOWA NR 11</t>
        </is>
      </c>
      <c r="E281" s="4" t="inlineStr">
        <is>
          <t>Szkoły miejskie (SP nr 1-21)</t>
        </is>
      </c>
      <c r="F281" s="5">
        <v>19</v>
      </c>
      <c r="G281" s="8">
        <v>0.0219</v>
      </c>
    </row>
    <row r="282" ht="19">
      <c r="A282" s="3">
        <v>2017</v>
      </c>
      <c r="B282" s="3">
        <v>14</v>
      </c>
      <c r="C282" s="3" t="inlineStr">
        <is>
          <t>OBWÓD 14</t>
        </is>
      </c>
      <c r="D282" s="4" t="inlineStr">
        <is>
          <t>SZKOŁA PODSTAWOWA NR 14</t>
        </is>
      </c>
      <c r="E282" s="4" t="inlineStr">
        <is>
          <t>Szkoły miejskie (SP nr 1-21)</t>
        </is>
      </c>
      <c r="F282" s="5">
        <v>20</v>
      </c>
      <c r="G282" s="8">
        <v>0.0231</v>
      </c>
    </row>
    <row r="283" ht="19">
      <c r="A283" s="3">
        <v>2017</v>
      </c>
      <c r="B283" s="3">
        <v>15</v>
      </c>
      <c r="C283" s="3" t="inlineStr">
        <is>
          <t>OBWÓD 15</t>
        </is>
      </c>
      <c r="D283" s="4" t="inlineStr">
        <is>
          <t>SZKOŁA PODSTAWOWA NR 15</t>
        </is>
      </c>
      <c r="E283" s="4" t="inlineStr">
        <is>
          <t>Szkoły miejskie (SP nr 1-21)</t>
        </is>
      </c>
      <c r="F283" s="5">
        <v>51</v>
      </c>
      <c r="G283" s="8">
        <v>0.0588</v>
      </c>
    </row>
    <row r="284" ht="19">
      <c r="A284" s="3">
        <v>2017</v>
      </c>
      <c r="B284" s="3">
        <v>16</v>
      </c>
      <c r="C284" s="3" t="inlineStr">
        <is>
          <t>OBWÓD 16</t>
        </is>
      </c>
      <c r="D284" s="4" t="inlineStr">
        <is>
          <t>SZKOŁA PODSTAWOWA NR 16</t>
        </is>
      </c>
      <c r="E284" s="4" t="inlineStr">
        <is>
          <t>Szkoły miejskie (SP nr 1-21)</t>
        </is>
      </c>
      <c r="F284" s="5">
        <v>78</v>
      </c>
      <c r="G284" s="8">
        <v>0.09</v>
      </c>
    </row>
    <row r="285" ht="19">
      <c r="A285" s="3">
        <v>2017</v>
      </c>
      <c r="B285" s="3">
        <v>17</v>
      </c>
      <c r="C285" s="3" t="inlineStr">
        <is>
          <t>OBWÓD 17</t>
        </is>
      </c>
      <c r="D285" s="4" t="inlineStr">
        <is>
          <t>SZKOŁA PODSTAWOWA NR 17</t>
        </is>
      </c>
      <c r="E285" s="4" t="inlineStr">
        <is>
          <t>Szkoły miejskie (SP nr 1-21)</t>
        </is>
      </c>
      <c r="F285" s="5">
        <v>54</v>
      </c>
      <c r="G285" s="8">
        <v>0.0623</v>
      </c>
    </row>
    <row r="286" ht="19">
      <c r="A286" s="3">
        <v>2017</v>
      </c>
      <c r="B286" s="3">
        <v>18</v>
      </c>
      <c r="C286" s="3" t="inlineStr">
        <is>
          <t>OBWÓD 18</t>
        </is>
      </c>
      <c r="D286" s="4" t="inlineStr">
        <is>
          <t>SZKOŁA PODSTAWOWA NR 18</t>
        </is>
      </c>
      <c r="E286" s="4" t="inlineStr">
        <is>
          <t>Szkoły miejskie (SP nr 1-21)</t>
        </is>
      </c>
      <c r="F286" s="5">
        <v>72</v>
      </c>
      <c r="G286" s="8">
        <v>0.083</v>
      </c>
    </row>
    <row r="287" ht="19">
      <c r="A287" s="3">
        <v>2017</v>
      </c>
      <c r="B287" s="3">
        <v>20</v>
      </c>
      <c r="C287" s="3" t="inlineStr">
        <is>
          <t>OBWÓD 20</t>
        </is>
      </c>
      <c r="D287" s="4" t="inlineStr">
        <is>
          <t>SZKOŁA PODSTAWOWA NR 20</t>
        </is>
      </c>
      <c r="E287" s="4" t="inlineStr">
        <is>
          <t>Szkoły miejskie (SP nr 1-21)</t>
        </is>
      </c>
      <c r="F287" s="5">
        <v>68</v>
      </c>
      <c r="G287" s="8">
        <v>0.0784</v>
      </c>
    </row>
    <row r="288" ht="19">
      <c r="A288" s="3">
        <v>2017</v>
      </c>
      <c r="B288" s="3">
        <v>21</v>
      </c>
      <c r="C288" s="3" t="inlineStr">
        <is>
          <t>OBWÓD 21</t>
        </is>
      </c>
      <c r="D288" s="4" t="inlineStr">
        <is>
          <t>SZKOŁA PODSTAWOWA NR 21</t>
        </is>
      </c>
      <c r="E288" s="4" t="inlineStr">
        <is>
          <t>Szkoły miejskie (SP nr 1-21)</t>
        </is>
      </c>
      <c r="F288" s="5">
        <v>105</v>
      </c>
      <c r="G288" s="8">
        <v>0.1211</v>
      </c>
    </row>
    <row r="289" ht="19">
      <c r="A289" s="3">
        <v>2017</v>
      </c>
      <c r="B289" s="3">
        <v>22</v>
      </c>
      <c r="C289" s="3" t="inlineStr">
        <is>
          <t>OBWÓD 22</t>
        </is>
      </c>
      <c r="D289" s="4" t="inlineStr">
        <is>
          <t>SZKOŁA PODSTAWOWA W CHEŁMCU</t>
        </is>
      </c>
      <c r="E289" s="4" t="inlineStr">
        <is>
          <t>Obwody podmiejskie (Chełmiec / Piątkowa)</t>
        </is>
      </c>
      <c r="F289" s="5">
        <v>27</v>
      </c>
      <c r="G289" s="8">
        <v>0.0311</v>
      </c>
    </row>
    <row r="290" ht="19">
      <c r="A290" s="3">
        <v>2017</v>
      </c>
      <c r="B290" s="3">
        <v>23</v>
      </c>
      <c r="C290" s="3" t="inlineStr">
        <is>
          <t>OBWÓD 23</t>
        </is>
      </c>
      <c r="D290" s="4" t="inlineStr">
        <is>
          <t>SZKOŁA PODSTAWOWA W PIĄTKOWEJ</t>
        </is>
      </c>
      <c r="E290" s="4" t="inlineStr">
        <is>
          <t>Obwody podmiejskie (Chełmiec / Piątkowa)</t>
        </is>
      </c>
      <c r="F290" s="5">
        <v>17</v>
      </c>
      <c r="G290" s="8">
        <v>0.0196</v>
      </c>
    </row>
    <row r="291" ht="19">
      <c r="A291" s="3">
        <v>2018</v>
      </c>
      <c r="B291" s="3">
        <v>1</v>
      </c>
      <c r="C291" s="3" t="inlineStr">
        <is>
          <t>OBWÓD 1</t>
        </is>
      </c>
      <c r="D291" s="4" t="inlineStr">
        <is>
          <t>SZKOŁA PODSTAWOWA NR 1</t>
        </is>
      </c>
      <c r="E291" s="4" t="inlineStr">
        <is>
          <t>Szkoły miejskie (SP nr 1-21)</t>
        </is>
      </c>
      <c r="F291" s="5">
        <v>34</v>
      </c>
      <c r="G291" s="8">
        <v>0.0419</v>
      </c>
    </row>
    <row r="292" ht="19">
      <c r="A292" s="3">
        <v>2018</v>
      </c>
      <c r="B292" s="3">
        <v>2</v>
      </c>
      <c r="C292" s="3" t="inlineStr">
        <is>
          <t>OBWÓD 2</t>
        </is>
      </c>
      <c r="D292" s="4" t="inlineStr">
        <is>
          <t>SZKOŁA PODSTAWOWA NR 2</t>
        </is>
      </c>
      <c r="E292" s="4" t="inlineStr">
        <is>
          <t>Szkoły miejskie (SP nr 1-21)</t>
        </is>
      </c>
      <c r="F292" s="5">
        <v>42</v>
      </c>
      <c r="G292" s="8">
        <v>0.0518</v>
      </c>
    </row>
    <row r="293" ht="19">
      <c r="A293" s="3">
        <v>2018</v>
      </c>
      <c r="B293" s="3">
        <v>3</v>
      </c>
      <c r="C293" s="3" t="inlineStr">
        <is>
          <t>OBWÓD 3</t>
        </is>
      </c>
      <c r="D293" s="4" t="inlineStr">
        <is>
          <t>SZKOŁA PODSTAWOWA NR 3</t>
        </is>
      </c>
      <c r="E293" s="4" t="inlineStr">
        <is>
          <t>Szkoły miejskie (SP nr 1-21)</t>
        </is>
      </c>
      <c r="F293" s="5">
        <v>61</v>
      </c>
      <c r="G293" s="8">
        <v>0.0752</v>
      </c>
    </row>
    <row r="294" ht="19">
      <c r="A294" s="3">
        <v>2018</v>
      </c>
      <c r="B294" s="3">
        <v>6</v>
      </c>
      <c r="C294" s="3" t="inlineStr">
        <is>
          <t>OBWÓD 6</t>
        </is>
      </c>
      <c r="D294" s="4" t="inlineStr">
        <is>
          <t>SZKOŁA PODSTAWOWA NR 6</t>
        </is>
      </c>
      <c r="E294" s="4" t="inlineStr">
        <is>
          <t>Szkoły miejskie (SP nr 1-21)</t>
        </is>
      </c>
      <c r="F294" s="5">
        <v>19</v>
      </c>
      <c r="G294" s="8">
        <v>0.0234</v>
      </c>
    </row>
    <row r="295" ht="19">
      <c r="A295" s="3">
        <v>2018</v>
      </c>
      <c r="B295" s="3">
        <v>7</v>
      </c>
      <c r="C295" s="3" t="inlineStr">
        <is>
          <t>OBWÓD 7</t>
        </is>
      </c>
      <c r="D295" s="4" t="inlineStr">
        <is>
          <t>SZKOŁA PODSTAWOWA NR 7</t>
        </is>
      </c>
      <c r="E295" s="4" t="inlineStr">
        <is>
          <t>Szkoły miejskie (SP nr 1-21)</t>
        </is>
      </c>
      <c r="F295" s="5">
        <v>33</v>
      </c>
      <c r="G295" s="8">
        <v>0.0407</v>
      </c>
    </row>
    <row r="296" ht="19">
      <c r="A296" s="3">
        <v>2018</v>
      </c>
      <c r="B296" s="3">
        <v>8</v>
      </c>
      <c r="C296" s="3" t="inlineStr">
        <is>
          <t>OBWÓD 8</t>
        </is>
      </c>
      <c r="D296" s="4" t="inlineStr">
        <is>
          <t>SZKOŁA PODSTAWOWA NR 8</t>
        </is>
      </c>
      <c r="E296" s="4" t="inlineStr">
        <is>
          <t>Szkoły miejskie (SP nr 1-21)</t>
        </is>
      </c>
      <c r="F296" s="5">
        <v>70</v>
      </c>
      <c r="G296" s="8">
        <v>0.0863</v>
      </c>
    </row>
    <row r="297" ht="19">
      <c r="A297" s="3">
        <v>2018</v>
      </c>
      <c r="B297" s="3">
        <v>9</v>
      </c>
      <c r="C297" s="3" t="inlineStr">
        <is>
          <t>OBWÓD 9</t>
        </is>
      </c>
      <c r="D297" s="4" t="inlineStr">
        <is>
          <t>SZKOŁA PODSTAWOWA NR 9</t>
        </is>
      </c>
      <c r="E297" s="4" t="inlineStr">
        <is>
          <t>Szkoły miejskie (SP nr 1-21)</t>
        </is>
      </c>
      <c r="F297" s="5">
        <v>69</v>
      </c>
      <c r="G297" s="8">
        <v>0.0851</v>
      </c>
    </row>
    <row r="298" ht="19">
      <c r="A298" s="3">
        <v>2018</v>
      </c>
      <c r="B298" s="3">
        <v>11</v>
      </c>
      <c r="C298" s="3" t="inlineStr">
        <is>
          <t>OBWÓD 11</t>
        </is>
      </c>
      <c r="D298" s="4" t="inlineStr">
        <is>
          <t>SZKOŁA PODSTAWOWA NR 11</t>
        </is>
      </c>
      <c r="E298" s="4" t="inlineStr">
        <is>
          <t>Szkoły miejskie (SP nr 1-21)</t>
        </is>
      </c>
      <c r="F298" s="5">
        <v>16</v>
      </c>
      <c r="G298" s="8">
        <v>0.0197</v>
      </c>
    </row>
    <row r="299" ht="19">
      <c r="A299" s="3">
        <v>2018</v>
      </c>
      <c r="B299" s="3">
        <v>14</v>
      </c>
      <c r="C299" s="3" t="inlineStr">
        <is>
          <t>OBWÓD 14</t>
        </is>
      </c>
      <c r="D299" s="4" t="inlineStr">
        <is>
          <t>SZKOŁA PODSTAWOWA NR 14</t>
        </is>
      </c>
      <c r="E299" s="4" t="inlineStr">
        <is>
          <t>Szkoły miejskie (SP nr 1-21)</t>
        </is>
      </c>
      <c r="F299" s="5">
        <v>13</v>
      </c>
      <c r="G299" s="8">
        <v>0.016</v>
      </c>
    </row>
    <row r="300" ht="19">
      <c r="A300" s="3">
        <v>2018</v>
      </c>
      <c r="B300" s="3">
        <v>15</v>
      </c>
      <c r="C300" s="3" t="inlineStr">
        <is>
          <t>OBWÓD 15</t>
        </is>
      </c>
      <c r="D300" s="4" t="inlineStr">
        <is>
          <t>SZKOŁA PODSTAWOWA NR 15</t>
        </is>
      </c>
      <c r="E300" s="4" t="inlineStr">
        <is>
          <t>Szkoły miejskie (SP nr 1-21)</t>
        </is>
      </c>
      <c r="F300" s="5">
        <v>51</v>
      </c>
      <c r="G300" s="8">
        <v>0.0629</v>
      </c>
    </row>
    <row r="301" ht="19">
      <c r="A301" s="3">
        <v>2018</v>
      </c>
      <c r="B301" s="3">
        <v>16</v>
      </c>
      <c r="C301" s="3" t="inlineStr">
        <is>
          <t>OBWÓD 16</t>
        </is>
      </c>
      <c r="D301" s="4" t="inlineStr">
        <is>
          <t>SZKOŁA PODSTAWOWA NR 16</t>
        </is>
      </c>
      <c r="E301" s="4" t="inlineStr">
        <is>
          <t>Szkoły miejskie (SP nr 1-21)</t>
        </is>
      </c>
      <c r="F301" s="5">
        <v>68</v>
      </c>
      <c r="G301" s="8">
        <v>0.0838</v>
      </c>
    </row>
    <row r="302" ht="19">
      <c r="A302" s="3">
        <v>2018</v>
      </c>
      <c r="B302" s="3">
        <v>17</v>
      </c>
      <c r="C302" s="3" t="inlineStr">
        <is>
          <t>OBWÓD 17</t>
        </is>
      </c>
      <c r="D302" s="4" t="inlineStr">
        <is>
          <t>SZKOŁA PODSTAWOWA NR 17</t>
        </is>
      </c>
      <c r="E302" s="4" t="inlineStr">
        <is>
          <t>Szkoły miejskie (SP nr 1-21)</t>
        </is>
      </c>
      <c r="F302" s="5">
        <v>45</v>
      </c>
      <c r="G302" s="8">
        <v>0.0555</v>
      </c>
    </row>
    <row r="303" ht="19">
      <c r="A303" s="3">
        <v>2018</v>
      </c>
      <c r="B303" s="3">
        <v>18</v>
      </c>
      <c r="C303" s="3" t="inlineStr">
        <is>
          <t>OBWÓD 18</t>
        </is>
      </c>
      <c r="D303" s="4" t="inlineStr">
        <is>
          <t>SZKOŁA PODSTAWOWA NR 18</t>
        </is>
      </c>
      <c r="E303" s="4" t="inlineStr">
        <is>
          <t>Szkoły miejskie (SP nr 1-21)</t>
        </is>
      </c>
      <c r="F303" s="5">
        <v>69</v>
      </c>
      <c r="G303" s="8">
        <v>0.0851</v>
      </c>
    </row>
    <row r="304" ht="19">
      <c r="A304" s="3">
        <v>2018</v>
      </c>
      <c r="B304" s="3">
        <v>20</v>
      </c>
      <c r="C304" s="3" t="inlineStr">
        <is>
          <t>OBWÓD 20</t>
        </is>
      </c>
      <c r="D304" s="4" t="inlineStr">
        <is>
          <t>SZKOŁA PODSTAWOWA NR 20</t>
        </is>
      </c>
      <c r="E304" s="4" t="inlineStr">
        <is>
          <t>Szkoły miejskie (SP nr 1-21)</t>
        </is>
      </c>
      <c r="F304" s="5">
        <v>66</v>
      </c>
      <c r="G304" s="8">
        <v>0.0814</v>
      </c>
    </row>
    <row r="305" ht="19">
      <c r="A305" s="3">
        <v>2018</v>
      </c>
      <c r="B305" s="3">
        <v>21</v>
      </c>
      <c r="C305" s="3" t="inlineStr">
        <is>
          <t>OBWÓD 21</t>
        </is>
      </c>
      <c r="D305" s="4" t="inlineStr">
        <is>
          <t>SZKOŁA PODSTAWOWA NR 21</t>
        </is>
      </c>
      <c r="E305" s="4" t="inlineStr">
        <is>
          <t>Szkoły miejskie (SP nr 1-21)</t>
        </is>
      </c>
      <c r="F305" s="5">
        <v>112</v>
      </c>
      <c r="G305" s="8">
        <v>0.1381</v>
      </c>
    </row>
    <row r="306" ht="19">
      <c r="A306" s="3">
        <v>2018</v>
      </c>
      <c r="B306" s="3">
        <v>22</v>
      </c>
      <c r="C306" s="3" t="inlineStr">
        <is>
          <t>OBWÓD 22</t>
        </is>
      </c>
      <c r="D306" s="4" t="inlineStr">
        <is>
          <t>SZKOŁA PODSTAWOWA W CHEŁMCU</t>
        </is>
      </c>
      <c r="E306" s="4" t="inlineStr">
        <is>
          <t>Obwody podmiejskie (Chełmiec / Piątkowa)</t>
        </is>
      </c>
      <c r="F306" s="5">
        <v>25</v>
      </c>
      <c r="G306" s="8">
        <v>0.0308</v>
      </c>
    </row>
    <row r="307" ht="19">
      <c r="A307" s="3">
        <v>2018</v>
      </c>
      <c r="B307" s="3">
        <v>23</v>
      </c>
      <c r="C307" s="3" t="inlineStr">
        <is>
          <t>OBWÓD 23</t>
        </is>
      </c>
      <c r="D307" s="4" t="inlineStr">
        <is>
          <t>SZKOŁA PODSTAWOWA W PIĄTKOWEJ</t>
        </is>
      </c>
      <c r="E307" s="4" t="inlineStr">
        <is>
          <t>Obwody podmiejskie (Chełmiec / Piątkowa)</t>
        </is>
      </c>
      <c r="F307" s="5">
        <v>18</v>
      </c>
      <c r="G307" s="8">
        <v>0.0222</v>
      </c>
    </row>
    <row r="308" ht="19">
      <c r="A308" s="3">
        <v>2019</v>
      </c>
      <c r="B308" s="3">
        <v>1</v>
      </c>
      <c r="C308" s="3" t="inlineStr">
        <is>
          <t>OBWÓD 1</t>
        </is>
      </c>
      <c r="D308" s="4" t="inlineStr">
        <is>
          <t>SZKOŁA PODSTAWOWA NR 1</t>
        </is>
      </c>
      <c r="E308" s="4" t="inlineStr">
        <is>
          <t>Szkoły miejskie (SP nr 1-21)</t>
        </is>
      </c>
      <c r="F308" s="5">
        <v>42</v>
      </c>
      <c r="G308" s="8">
        <v>0.0554</v>
      </c>
    </row>
    <row r="309" ht="19">
      <c r="A309" s="3">
        <v>2019</v>
      </c>
      <c r="B309" s="3">
        <v>2</v>
      </c>
      <c r="C309" s="3" t="inlineStr">
        <is>
          <t>OBWÓD 2</t>
        </is>
      </c>
      <c r="D309" s="4" t="inlineStr">
        <is>
          <t>SZKOŁA PODSTAWOWA NR 2</t>
        </is>
      </c>
      <c r="E309" s="4" t="inlineStr">
        <is>
          <t>Szkoły miejskie (SP nr 1-21)</t>
        </is>
      </c>
      <c r="F309" s="5">
        <v>39</v>
      </c>
      <c r="G309" s="8">
        <v>0.0515</v>
      </c>
    </row>
    <row r="310" ht="19">
      <c r="A310" s="3">
        <v>2019</v>
      </c>
      <c r="B310" s="3">
        <v>3</v>
      </c>
      <c r="C310" s="3" t="inlineStr">
        <is>
          <t>OBWÓD 3</t>
        </is>
      </c>
      <c r="D310" s="4" t="inlineStr">
        <is>
          <t>SZKOŁA PODSTAWOWA NR 3</t>
        </is>
      </c>
      <c r="E310" s="4" t="inlineStr">
        <is>
          <t>Szkoły miejskie (SP nr 1-21)</t>
        </is>
      </c>
      <c r="F310" s="5">
        <v>82</v>
      </c>
      <c r="G310" s="8">
        <v>0.1082</v>
      </c>
    </row>
    <row r="311" ht="19">
      <c r="A311" s="3">
        <v>2019</v>
      </c>
      <c r="B311" s="3">
        <v>6</v>
      </c>
      <c r="C311" s="3" t="inlineStr">
        <is>
          <t>OBWÓD 6</t>
        </is>
      </c>
      <c r="D311" s="4" t="inlineStr">
        <is>
          <t>SZKOŁA PODSTAWOWA NR 6</t>
        </is>
      </c>
      <c r="E311" s="4" t="inlineStr">
        <is>
          <t>Szkoły miejskie (SP nr 1-21)</t>
        </is>
      </c>
      <c r="F311" s="5">
        <v>16</v>
      </c>
      <c r="G311" s="8">
        <v>0.0211</v>
      </c>
    </row>
    <row r="312" ht="19">
      <c r="A312" s="3">
        <v>2019</v>
      </c>
      <c r="B312" s="3">
        <v>7</v>
      </c>
      <c r="C312" s="3" t="inlineStr">
        <is>
          <t>OBWÓD 7</t>
        </is>
      </c>
      <c r="D312" s="4" t="inlineStr">
        <is>
          <t>SZKOŁA PODSTAWOWA NR 7</t>
        </is>
      </c>
      <c r="E312" s="4" t="inlineStr">
        <is>
          <t>Szkoły miejskie (SP nr 1-21)</t>
        </is>
      </c>
      <c r="F312" s="5">
        <v>35</v>
      </c>
      <c r="G312" s="8">
        <v>0.0462</v>
      </c>
    </row>
    <row r="313" ht="19">
      <c r="A313" s="3">
        <v>2019</v>
      </c>
      <c r="B313" s="3">
        <v>8</v>
      </c>
      <c r="C313" s="3" t="inlineStr">
        <is>
          <t>OBWÓD 8</t>
        </is>
      </c>
      <c r="D313" s="4" t="inlineStr">
        <is>
          <t>SZKOŁA PODSTAWOWA NR 8</t>
        </is>
      </c>
      <c r="E313" s="4" t="inlineStr">
        <is>
          <t>Szkoły miejskie (SP nr 1-21)</t>
        </is>
      </c>
      <c r="F313" s="5">
        <v>44</v>
      </c>
      <c r="G313" s="8">
        <v>0.058</v>
      </c>
    </row>
    <row r="314" ht="19">
      <c r="A314" s="3">
        <v>2019</v>
      </c>
      <c r="B314" s="3">
        <v>9</v>
      </c>
      <c r="C314" s="3" t="inlineStr">
        <is>
          <t>OBWÓD 9</t>
        </is>
      </c>
      <c r="D314" s="4" t="inlineStr">
        <is>
          <t>SZKOŁA PODSTAWOWA NR 9</t>
        </is>
      </c>
      <c r="E314" s="4" t="inlineStr">
        <is>
          <t>Szkoły miejskie (SP nr 1-21)</t>
        </is>
      </c>
      <c r="F314" s="5">
        <v>56</v>
      </c>
      <c r="G314" s="8">
        <v>0.0739</v>
      </c>
    </row>
    <row r="315" ht="19">
      <c r="A315" s="3">
        <v>2019</v>
      </c>
      <c r="B315" s="3">
        <v>11</v>
      </c>
      <c r="C315" s="3" t="inlineStr">
        <is>
          <t>OBWÓD 11</t>
        </is>
      </c>
      <c r="D315" s="4" t="inlineStr">
        <is>
          <t>SZKOŁA PODSTAWOWA NR 11</t>
        </is>
      </c>
      <c r="E315" s="4" t="inlineStr">
        <is>
          <t>Szkoły miejskie (SP nr 1-21)</t>
        </is>
      </c>
      <c r="F315" s="5">
        <v>13</v>
      </c>
      <c r="G315" s="8">
        <v>0.0172</v>
      </c>
    </row>
    <row r="316" ht="19">
      <c r="A316" s="3">
        <v>2019</v>
      </c>
      <c r="B316" s="3">
        <v>14</v>
      </c>
      <c r="C316" s="3" t="inlineStr">
        <is>
          <t>OBWÓD 14</t>
        </is>
      </c>
      <c r="D316" s="4" t="inlineStr">
        <is>
          <t>SZKOŁA PODSTAWOWA NR 14</t>
        </is>
      </c>
      <c r="E316" s="4" t="inlineStr">
        <is>
          <t>Szkoły miejskie (SP nr 1-21)</t>
        </is>
      </c>
      <c r="F316" s="5">
        <v>14</v>
      </c>
      <c r="G316" s="8">
        <v>0.0185</v>
      </c>
    </row>
    <row r="317" ht="19">
      <c r="A317" s="3">
        <v>2019</v>
      </c>
      <c r="B317" s="3">
        <v>15</v>
      </c>
      <c r="C317" s="3" t="inlineStr">
        <is>
          <t>OBWÓD 15</t>
        </is>
      </c>
      <c r="D317" s="4" t="inlineStr">
        <is>
          <t>SZKOŁA PODSTAWOWA NR 15</t>
        </is>
      </c>
      <c r="E317" s="4" t="inlineStr">
        <is>
          <t>Szkoły miejskie (SP nr 1-21)</t>
        </is>
      </c>
      <c r="F317" s="5">
        <v>45</v>
      </c>
      <c r="G317" s="8">
        <v>0.0594</v>
      </c>
    </row>
    <row r="318" ht="19">
      <c r="A318" s="3">
        <v>2019</v>
      </c>
      <c r="B318" s="3">
        <v>16</v>
      </c>
      <c r="C318" s="3" t="inlineStr">
        <is>
          <t>OBWÓD 16</t>
        </is>
      </c>
      <c r="D318" s="4" t="inlineStr">
        <is>
          <t>SZKOŁA PODSTAWOWA NR 16</t>
        </is>
      </c>
      <c r="E318" s="4" t="inlineStr">
        <is>
          <t>Szkoły miejskie (SP nr 1-21)</t>
        </is>
      </c>
      <c r="F318" s="5">
        <v>53</v>
      </c>
      <c r="G318" s="8">
        <v>0.0699</v>
      </c>
    </row>
    <row r="319" ht="19">
      <c r="A319" s="3">
        <v>2019</v>
      </c>
      <c r="B319" s="3">
        <v>17</v>
      </c>
      <c r="C319" s="3" t="inlineStr">
        <is>
          <t>OBWÓD 17</t>
        </is>
      </c>
      <c r="D319" s="4" t="inlineStr">
        <is>
          <t>SZKOŁA PODSTAWOWA NR 17</t>
        </is>
      </c>
      <c r="E319" s="4" t="inlineStr">
        <is>
          <t>Szkoły miejskie (SP nr 1-21)</t>
        </is>
      </c>
      <c r="F319" s="5">
        <v>49</v>
      </c>
      <c r="G319" s="8">
        <v>0.0646</v>
      </c>
    </row>
    <row r="320" ht="19">
      <c r="A320" s="3">
        <v>2019</v>
      </c>
      <c r="B320" s="3">
        <v>18</v>
      </c>
      <c r="C320" s="3" t="inlineStr">
        <is>
          <t>OBWÓD 18</t>
        </is>
      </c>
      <c r="D320" s="4" t="inlineStr">
        <is>
          <t>SZKOŁA PODSTAWOWA NR 18</t>
        </is>
      </c>
      <c r="E320" s="4" t="inlineStr">
        <is>
          <t>Szkoły miejskie (SP nr 1-21)</t>
        </is>
      </c>
      <c r="F320" s="5">
        <v>55</v>
      </c>
      <c r="G320" s="8">
        <v>0.0726</v>
      </c>
    </row>
    <row r="321" ht="19">
      <c r="A321" s="3">
        <v>2019</v>
      </c>
      <c r="B321" s="3">
        <v>20</v>
      </c>
      <c r="C321" s="3" t="inlineStr">
        <is>
          <t>OBWÓD 20</t>
        </is>
      </c>
      <c r="D321" s="4" t="inlineStr">
        <is>
          <t>SZKOŁA PODSTAWOWA NR 20</t>
        </is>
      </c>
      <c r="E321" s="4" t="inlineStr">
        <is>
          <t>Szkoły miejskie (SP nr 1-21)</t>
        </is>
      </c>
      <c r="F321" s="5">
        <v>51</v>
      </c>
      <c r="G321" s="8">
        <v>0.0673</v>
      </c>
    </row>
    <row r="322" ht="19">
      <c r="A322" s="3">
        <v>2019</v>
      </c>
      <c r="B322" s="3">
        <v>21</v>
      </c>
      <c r="C322" s="3" t="inlineStr">
        <is>
          <t>OBWÓD 21</t>
        </is>
      </c>
      <c r="D322" s="4" t="inlineStr">
        <is>
          <t>SZKOŁA PODSTAWOWA NR 21</t>
        </is>
      </c>
      <c r="E322" s="4" t="inlineStr">
        <is>
          <t>Szkoły miejskie (SP nr 1-21)</t>
        </is>
      </c>
      <c r="F322" s="5">
        <v>114</v>
      </c>
      <c r="G322" s="8">
        <v>0.1504</v>
      </c>
    </row>
    <row r="323" ht="19">
      <c r="A323" s="3">
        <v>2019</v>
      </c>
      <c r="B323" s="3">
        <v>22</v>
      </c>
      <c r="C323" s="3" t="inlineStr">
        <is>
          <t>OBWÓD 22</t>
        </is>
      </c>
      <c r="D323" s="4" t="inlineStr">
        <is>
          <t>SZKOŁA PODSTAWOWA W CHEŁMCU</t>
        </is>
      </c>
      <c r="E323" s="4" t="inlineStr">
        <is>
          <t>Obwody podmiejskie (Chełmiec / Piątkowa)</t>
        </is>
      </c>
      <c r="F323" s="5">
        <v>33</v>
      </c>
      <c r="G323" s="8">
        <v>0.0435</v>
      </c>
    </row>
    <row r="324" ht="19">
      <c r="A324" s="3">
        <v>2019</v>
      </c>
      <c r="B324" s="3">
        <v>23</v>
      </c>
      <c r="C324" s="3" t="inlineStr">
        <is>
          <t>OBWÓD 23</t>
        </is>
      </c>
      <c r="D324" s="4" t="inlineStr">
        <is>
          <t>SZKOŁA PODSTAWOWA W PIĄTKOWEJ</t>
        </is>
      </c>
      <c r="E324" s="4" t="inlineStr">
        <is>
          <t>Obwody podmiejskie (Chełmiec / Piątkowa)</t>
        </is>
      </c>
      <c r="F324" s="5">
        <v>17</v>
      </c>
      <c r="G324" s="8">
        <v>0.0224</v>
      </c>
    </row>
    <row r="325" ht="19">
      <c r="A325" s="3">
        <v>2020</v>
      </c>
      <c r="B325" s="3">
        <v>1</v>
      </c>
      <c r="C325" s="3" t="inlineStr">
        <is>
          <t>OBWÓD 1</t>
        </is>
      </c>
      <c r="D325" s="4" t="inlineStr">
        <is>
          <t>SZKOŁA PODSTAWOWA NR 1</t>
        </is>
      </c>
      <c r="E325" s="4" t="inlineStr">
        <is>
          <t>Szkoły miejskie (SP nr 1-21)</t>
        </is>
      </c>
      <c r="F325" s="5">
        <v>40</v>
      </c>
      <c r="G325" s="8">
        <v>0.0533</v>
      </c>
    </row>
    <row r="326" ht="19">
      <c r="A326" s="3">
        <v>2020</v>
      </c>
      <c r="B326" s="3">
        <v>2</v>
      </c>
      <c r="C326" s="3" t="inlineStr">
        <is>
          <t>OBWÓD 2</t>
        </is>
      </c>
      <c r="D326" s="4" t="inlineStr">
        <is>
          <t>SZKOŁA PODSTAWOWA NR 2</t>
        </is>
      </c>
      <c r="E326" s="4" t="inlineStr">
        <is>
          <t>Szkoły miejskie (SP nr 1-21)</t>
        </is>
      </c>
      <c r="F326" s="5">
        <v>46</v>
      </c>
      <c r="G326" s="8">
        <v>0.0613</v>
      </c>
    </row>
    <row r="327" ht="19">
      <c r="A327" s="3">
        <v>2020</v>
      </c>
      <c r="B327" s="3">
        <v>3</v>
      </c>
      <c r="C327" s="3" t="inlineStr">
        <is>
          <t>OBWÓD 3</t>
        </is>
      </c>
      <c r="D327" s="4" t="inlineStr">
        <is>
          <t>SZKOŁA PODSTAWOWA NR 3</t>
        </is>
      </c>
      <c r="E327" s="4" t="inlineStr">
        <is>
          <t>Szkoły miejskie (SP nr 1-21)</t>
        </is>
      </c>
      <c r="F327" s="5">
        <v>62</v>
      </c>
      <c r="G327" s="8">
        <v>0.0826</v>
      </c>
    </row>
    <row r="328" ht="19">
      <c r="A328" s="3">
        <v>2020</v>
      </c>
      <c r="B328" s="3">
        <v>6</v>
      </c>
      <c r="C328" s="3" t="inlineStr">
        <is>
          <t>OBWÓD 6</t>
        </is>
      </c>
      <c r="D328" s="4" t="inlineStr">
        <is>
          <t>SZKOŁA PODSTAWOWA NR 6</t>
        </is>
      </c>
      <c r="E328" s="4" t="inlineStr">
        <is>
          <t>Szkoły miejskie (SP nr 1-21)</t>
        </is>
      </c>
      <c r="F328" s="5">
        <v>16</v>
      </c>
      <c r="G328" s="8">
        <v>0.0213</v>
      </c>
    </row>
    <row r="329" ht="19">
      <c r="A329" s="3">
        <v>2020</v>
      </c>
      <c r="B329" s="3">
        <v>7</v>
      </c>
      <c r="C329" s="3" t="inlineStr">
        <is>
          <t>OBWÓD 7</t>
        </is>
      </c>
      <c r="D329" s="4" t="inlineStr">
        <is>
          <t>SZKOŁA PODSTAWOWA NR 7</t>
        </is>
      </c>
      <c r="E329" s="4" t="inlineStr">
        <is>
          <t>Szkoły miejskie (SP nr 1-21)</t>
        </is>
      </c>
      <c r="F329" s="5">
        <v>42</v>
      </c>
      <c r="G329" s="8">
        <v>0.0559</v>
      </c>
    </row>
    <row r="330" ht="19">
      <c r="A330" s="3">
        <v>2020</v>
      </c>
      <c r="B330" s="3">
        <v>8</v>
      </c>
      <c r="C330" s="3" t="inlineStr">
        <is>
          <t>OBWÓD 8</t>
        </is>
      </c>
      <c r="D330" s="4" t="inlineStr">
        <is>
          <t>SZKOŁA PODSTAWOWA NR 8</t>
        </is>
      </c>
      <c r="E330" s="4" t="inlineStr">
        <is>
          <t>Szkoły miejskie (SP nr 1-21)</t>
        </is>
      </c>
      <c r="F330" s="5">
        <v>40</v>
      </c>
      <c r="G330" s="8">
        <v>0.0533</v>
      </c>
    </row>
    <row r="331" ht="19">
      <c r="A331" s="3">
        <v>2020</v>
      </c>
      <c r="B331" s="3">
        <v>9</v>
      </c>
      <c r="C331" s="3" t="inlineStr">
        <is>
          <t>OBWÓD 9</t>
        </is>
      </c>
      <c r="D331" s="4" t="inlineStr">
        <is>
          <t>SZKOŁA PODSTAWOWA NR 9</t>
        </is>
      </c>
      <c r="E331" s="4" t="inlineStr">
        <is>
          <t>Szkoły miejskie (SP nr 1-21)</t>
        </is>
      </c>
      <c r="F331" s="5">
        <v>68</v>
      </c>
      <c r="G331" s="8">
        <v>0.0905</v>
      </c>
    </row>
    <row r="332" ht="19">
      <c r="A332" s="3">
        <v>2020</v>
      </c>
      <c r="B332" s="3">
        <v>11</v>
      </c>
      <c r="C332" s="3" t="inlineStr">
        <is>
          <t>OBWÓD 11</t>
        </is>
      </c>
      <c r="D332" s="4" t="inlineStr">
        <is>
          <t>SZKOŁA PODSTAWOWA NR 11</t>
        </is>
      </c>
      <c r="E332" s="4" t="inlineStr">
        <is>
          <t>Szkoły miejskie (SP nr 1-21)</t>
        </is>
      </c>
      <c r="F332" s="5">
        <v>14</v>
      </c>
      <c r="G332" s="8">
        <v>0.0186</v>
      </c>
    </row>
    <row r="333" ht="19">
      <c r="A333" s="3">
        <v>2020</v>
      </c>
      <c r="B333" s="3">
        <v>14</v>
      </c>
      <c r="C333" s="3" t="inlineStr">
        <is>
          <t>OBWÓD 14</t>
        </is>
      </c>
      <c r="D333" s="4" t="inlineStr">
        <is>
          <t>SZKOŁA PODSTAWOWA NR 14</t>
        </is>
      </c>
      <c r="E333" s="4" t="inlineStr">
        <is>
          <t>Szkoły miejskie (SP nr 1-21)</t>
        </is>
      </c>
      <c r="F333" s="5">
        <v>17</v>
      </c>
      <c r="G333" s="8">
        <v>0.0226</v>
      </c>
    </row>
    <row r="334" ht="19">
      <c r="A334" s="3">
        <v>2020</v>
      </c>
      <c r="B334" s="3">
        <v>15</v>
      </c>
      <c r="C334" s="3" t="inlineStr">
        <is>
          <t>OBWÓD 15</t>
        </is>
      </c>
      <c r="D334" s="4" t="inlineStr">
        <is>
          <t>SZKOŁA PODSTAWOWA NR 15</t>
        </is>
      </c>
      <c r="E334" s="4" t="inlineStr">
        <is>
          <t>Szkoły miejskie (SP nr 1-21)</t>
        </is>
      </c>
      <c r="F334" s="5">
        <v>46</v>
      </c>
      <c r="G334" s="8">
        <v>0.0613</v>
      </c>
    </row>
    <row r="335" ht="19">
      <c r="A335" s="3">
        <v>2020</v>
      </c>
      <c r="B335" s="3">
        <v>16</v>
      </c>
      <c r="C335" s="3" t="inlineStr">
        <is>
          <t>OBWÓD 16</t>
        </is>
      </c>
      <c r="D335" s="4" t="inlineStr">
        <is>
          <t>SZKOŁA PODSTAWOWA NR 16</t>
        </is>
      </c>
      <c r="E335" s="4" t="inlineStr">
        <is>
          <t>Szkoły miejskie (SP nr 1-21)</t>
        </is>
      </c>
      <c r="F335" s="5">
        <v>70</v>
      </c>
      <c r="G335" s="8">
        <v>0.0932</v>
      </c>
    </row>
    <row r="336" ht="19">
      <c r="A336" s="3">
        <v>2020</v>
      </c>
      <c r="B336" s="3">
        <v>17</v>
      </c>
      <c r="C336" s="3" t="inlineStr">
        <is>
          <t>OBWÓD 17</t>
        </is>
      </c>
      <c r="D336" s="4" t="inlineStr">
        <is>
          <t>SZKOŁA PODSTAWOWA NR 17</t>
        </is>
      </c>
      <c r="E336" s="4" t="inlineStr">
        <is>
          <t>Szkoły miejskie (SP nr 1-21)</t>
        </is>
      </c>
      <c r="F336" s="5">
        <v>50</v>
      </c>
      <c r="G336" s="8">
        <v>0.0666</v>
      </c>
    </row>
    <row r="337" ht="19">
      <c r="A337" s="3">
        <v>2020</v>
      </c>
      <c r="B337" s="3">
        <v>18</v>
      </c>
      <c r="C337" s="3" t="inlineStr">
        <is>
          <t>OBWÓD 18</t>
        </is>
      </c>
      <c r="D337" s="4" t="inlineStr">
        <is>
          <t>SZKOŁA PODSTAWOWA NR 18</t>
        </is>
      </c>
      <c r="E337" s="4" t="inlineStr">
        <is>
          <t>Szkoły miejskie (SP nr 1-21)</t>
        </is>
      </c>
      <c r="F337" s="5">
        <v>62</v>
      </c>
      <c r="G337" s="8">
        <v>0.0826</v>
      </c>
    </row>
    <row r="338" ht="19">
      <c r="A338" s="3">
        <v>2020</v>
      </c>
      <c r="B338" s="3">
        <v>20</v>
      </c>
      <c r="C338" s="3" t="inlineStr">
        <is>
          <t>OBWÓD 20</t>
        </is>
      </c>
      <c r="D338" s="4" t="inlineStr">
        <is>
          <t>SZKOŁA PODSTAWOWA NR 20</t>
        </is>
      </c>
      <c r="E338" s="4" t="inlineStr">
        <is>
          <t>Szkoły miejskie (SP nr 1-21)</t>
        </is>
      </c>
      <c r="F338" s="5">
        <v>44</v>
      </c>
      <c r="G338" s="8">
        <v>0.0586</v>
      </c>
    </row>
    <row r="339" ht="19">
      <c r="A339" s="3">
        <v>2020</v>
      </c>
      <c r="B339" s="3">
        <v>21</v>
      </c>
      <c r="C339" s="3" t="inlineStr">
        <is>
          <t>OBWÓD 21</t>
        </is>
      </c>
      <c r="D339" s="4" t="inlineStr">
        <is>
          <t>SZKOŁA PODSTAWOWA NR 21</t>
        </is>
      </c>
      <c r="E339" s="4" t="inlineStr">
        <is>
          <t>Szkoły miejskie (SP nr 1-21)</t>
        </is>
      </c>
      <c r="F339" s="5">
        <v>84</v>
      </c>
      <c r="G339" s="8">
        <v>0.1119</v>
      </c>
    </row>
    <row r="340" ht="19">
      <c r="A340" s="3">
        <v>2020</v>
      </c>
      <c r="B340" s="3">
        <v>22</v>
      </c>
      <c r="C340" s="3" t="inlineStr">
        <is>
          <t>OBWÓD 22</t>
        </is>
      </c>
      <c r="D340" s="4" t="inlineStr">
        <is>
          <t>SZKOŁA PODSTAWOWA W CHEŁMCU</t>
        </is>
      </c>
      <c r="E340" s="4" t="inlineStr">
        <is>
          <t>Obwody podmiejskie (Chełmiec / Piątkowa)</t>
        </is>
      </c>
      <c r="F340" s="5">
        <v>27</v>
      </c>
      <c r="G340" s="8">
        <v>0.036</v>
      </c>
    </row>
    <row r="341" ht="19">
      <c r="A341" s="3">
        <v>2020</v>
      </c>
      <c r="B341" s="3">
        <v>23</v>
      </c>
      <c r="C341" s="3" t="inlineStr">
        <is>
          <t>OBWÓD 23</t>
        </is>
      </c>
      <c r="D341" s="4" t="inlineStr">
        <is>
          <t>SZKOŁA PODSTAWOWA W PIĄTKOWEJ</t>
        </is>
      </c>
      <c r="E341" s="4" t="inlineStr">
        <is>
          <t>Obwody podmiejskie (Chełmiec / Piątkowa)</t>
        </is>
      </c>
      <c r="F341" s="5">
        <v>23</v>
      </c>
      <c r="G341" s="8">
        <v>0.0306</v>
      </c>
    </row>
    <row r="342" ht="19">
      <c r="A342" s="3">
        <v>2021</v>
      </c>
      <c r="B342" s="3">
        <v>1</v>
      </c>
      <c r="C342" s="3" t="inlineStr">
        <is>
          <t>OBWÓD 1</t>
        </is>
      </c>
      <c r="D342" s="4" t="inlineStr">
        <is>
          <t>SZKOŁA PODSTAWOWA NR 1</t>
        </is>
      </c>
      <c r="E342" s="4" t="inlineStr">
        <is>
          <t>Szkoły miejskie (SP nr 1-21)</t>
        </is>
      </c>
      <c r="F342" s="5">
        <v>38</v>
      </c>
      <c r="G342" s="8">
        <v>0.0545</v>
      </c>
    </row>
    <row r="343" ht="19">
      <c r="A343" s="3">
        <v>2021</v>
      </c>
      <c r="B343" s="3">
        <v>2</v>
      </c>
      <c r="C343" s="3" t="inlineStr">
        <is>
          <t>OBWÓD 2</t>
        </is>
      </c>
      <c r="D343" s="4" t="inlineStr">
        <is>
          <t>SZKOŁA PODSTAWOWA NR 2</t>
        </is>
      </c>
      <c r="E343" s="4" t="inlineStr">
        <is>
          <t>Szkoły miejskie (SP nr 1-21)</t>
        </is>
      </c>
      <c r="F343" s="5">
        <v>32</v>
      </c>
      <c r="G343" s="8">
        <v>0.0459</v>
      </c>
    </row>
    <row r="344" ht="19">
      <c r="A344" s="3">
        <v>2021</v>
      </c>
      <c r="B344" s="3">
        <v>3</v>
      </c>
      <c r="C344" s="3" t="inlineStr">
        <is>
          <t>OBWÓD 3</t>
        </is>
      </c>
      <c r="D344" s="4" t="inlineStr">
        <is>
          <t>SZKOŁA PODSTAWOWA NR 3</t>
        </is>
      </c>
      <c r="E344" s="4" t="inlineStr">
        <is>
          <t>Szkoły miejskie (SP nr 1-21)</t>
        </is>
      </c>
      <c r="F344" s="5">
        <v>48</v>
      </c>
      <c r="G344" s="8">
        <v>0.0689</v>
      </c>
    </row>
    <row r="345" ht="19">
      <c r="A345" s="3">
        <v>2021</v>
      </c>
      <c r="B345" s="3">
        <v>6</v>
      </c>
      <c r="C345" s="3" t="inlineStr">
        <is>
          <t>OBWÓD 6</t>
        </is>
      </c>
      <c r="D345" s="4" t="inlineStr">
        <is>
          <t>SZKOŁA PODSTAWOWA NR 6</t>
        </is>
      </c>
      <c r="E345" s="4" t="inlineStr">
        <is>
          <t>Szkoły miejskie (SP nr 1-21)</t>
        </is>
      </c>
      <c r="F345" s="5">
        <v>16</v>
      </c>
      <c r="G345" s="8">
        <v>0.023</v>
      </c>
    </row>
    <row r="346" ht="19">
      <c r="A346" s="3">
        <v>2021</v>
      </c>
      <c r="B346" s="3">
        <v>7</v>
      </c>
      <c r="C346" s="3" t="inlineStr">
        <is>
          <t>OBWÓD 7</t>
        </is>
      </c>
      <c r="D346" s="4" t="inlineStr">
        <is>
          <t>SZKOŁA PODSTAWOWA NR 7</t>
        </is>
      </c>
      <c r="E346" s="4" t="inlineStr">
        <is>
          <t>Szkoły miejskie (SP nr 1-21)</t>
        </is>
      </c>
      <c r="F346" s="5">
        <v>37</v>
      </c>
      <c r="G346" s="8">
        <v>0.0531</v>
      </c>
    </row>
    <row r="347" ht="19">
      <c r="A347" s="3">
        <v>2021</v>
      </c>
      <c r="B347" s="3">
        <v>8</v>
      </c>
      <c r="C347" s="3" t="inlineStr">
        <is>
          <t>OBWÓD 8</t>
        </is>
      </c>
      <c r="D347" s="4" t="inlineStr">
        <is>
          <t>SZKOŁA PODSTAWOWA NR 8</t>
        </is>
      </c>
      <c r="E347" s="4" t="inlineStr">
        <is>
          <t>Szkoły miejskie (SP nr 1-21)</t>
        </is>
      </c>
      <c r="F347" s="5">
        <v>49</v>
      </c>
      <c r="G347" s="8">
        <v>0.0703</v>
      </c>
    </row>
    <row r="348" ht="19">
      <c r="A348" s="3">
        <v>2021</v>
      </c>
      <c r="B348" s="3">
        <v>9</v>
      </c>
      <c r="C348" s="3" t="inlineStr">
        <is>
          <t>OBWÓD 9</t>
        </is>
      </c>
      <c r="D348" s="4" t="inlineStr">
        <is>
          <t>SZKOŁA PODSTAWOWA NR 9</t>
        </is>
      </c>
      <c r="E348" s="4" t="inlineStr">
        <is>
          <t>Szkoły miejskie (SP nr 1-21)</t>
        </is>
      </c>
      <c r="F348" s="5">
        <v>74</v>
      </c>
      <c r="G348" s="8">
        <v>0.1062</v>
      </c>
    </row>
    <row r="349" ht="19">
      <c r="A349" s="3">
        <v>2021</v>
      </c>
      <c r="B349" s="3">
        <v>11</v>
      </c>
      <c r="C349" s="3" t="inlineStr">
        <is>
          <t>OBWÓD 11</t>
        </is>
      </c>
      <c r="D349" s="4" t="inlineStr">
        <is>
          <t>SZKOŁA PODSTAWOWA NR 11</t>
        </is>
      </c>
      <c r="E349" s="4" t="inlineStr">
        <is>
          <t>Szkoły miejskie (SP nr 1-21)</t>
        </is>
      </c>
      <c r="F349" s="5">
        <v>17</v>
      </c>
      <c r="G349" s="8">
        <v>0.0244</v>
      </c>
    </row>
    <row r="350" ht="19">
      <c r="A350" s="3">
        <v>2021</v>
      </c>
      <c r="B350" s="3">
        <v>14</v>
      </c>
      <c r="C350" s="3" t="inlineStr">
        <is>
          <t>OBWÓD 14</t>
        </is>
      </c>
      <c r="D350" s="4" t="inlineStr">
        <is>
          <t>SZKOŁA PODSTAWOWA NR 14</t>
        </is>
      </c>
      <c r="E350" s="4" t="inlineStr">
        <is>
          <t>Szkoły miejskie (SP nr 1-21)</t>
        </is>
      </c>
      <c r="F350" s="5">
        <v>16</v>
      </c>
      <c r="G350" s="8">
        <v>0.023</v>
      </c>
    </row>
    <row r="351" ht="19">
      <c r="A351" s="3">
        <v>2021</v>
      </c>
      <c r="B351" s="3">
        <v>15</v>
      </c>
      <c r="C351" s="3" t="inlineStr">
        <is>
          <t>OBWÓD 15</t>
        </is>
      </c>
      <c r="D351" s="4" t="inlineStr">
        <is>
          <t>SZKOŁA PODSTAWOWA NR 15</t>
        </is>
      </c>
      <c r="E351" s="4" t="inlineStr">
        <is>
          <t>Szkoły miejskie (SP nr 1-21)</t>
        </is>
      </c>
      <c r="F351" s="5">
        <v>40</v>
      </c>
      <c r="G351" s="8">
        <v>0.0574</v>
      </c>
    </row>
    <row r="352" ht="19">
      <c r="A352" s="3">
        <v>2021</v>
      </c>
      <c r="B352" s="3">
        <v>16</v>
      </c>
      <c r="C352" s="3" t="inlineStr">
        <is>
          <t>OBWÓD 16</t>
        </is>
      </c>
      <c r="D352" s="4" t="inlineStr">
        <is>
          <t>SZKOŁA PODSTAWOWA NR 16</t>
        </is>
      </c>
      <c r="E352" s="4" t="inlineStr">
        <is>
          <t>Szkoły miejskie (SP nr 1-21)</t>
        </is>
      </c>
      <c r="F352" s="5">
        <v>58</v>
      </c>
      <c r="G352" s="8">
        <v>0.0832</v>
      </c>
    </row>
    <row r="353" ht="19">
      <c r="A353" s="3">
        <v>2021</v>
      </c>
      <c r="B353" s="3">
        <v>17</v>
      </c>
      <c r="C353" s="3" t="inlineStr">
        <is>
          <t>OBWÓD 17</t>
        </is>
      </c>
      <c r="D353" s="4" t="inlineStr">
        <is>
          <t>SZKOŁA PODSTAWOWA NR 17</t>
        </is>
      </c>
      <c r="E353" s="4" t="inlineStr">
        <is>
          <t>Szkoły miejskie (SP nr 1-21)</t>
        </is>
      </c>
      <c r="F353" s="5">
        <v>46</v>
      </c>
      <c r="G353" s="8">
        <v>0.066</v>
      </c>
    </row>
    <row r="354" ht="19">
      <c r="A354" s="3">
        <v>2021</v>
      </c>
      <c r="B354" s="3">
        <v>18</v>
      </c>
      <c r="C354" s="3" t="inlineStr">
        <is>
          <t>OBWÓD 18</t>
        </is>
      </c>
      <c r="D354" s="4" t="inlineStr">
        <is>
          <t>SZKOŁA PODSTAWOWA NR 18</t>
        </is>
      </c>
      <c r="E354" s="4" t="inlineStr">
        <is>
          <t>Szkoły miejskie (SP nr 1-21)</t>
        </is>
      </c>
      <c r="F354" s="5">
        <v>55</v>
      </c>
      <c r="G354" s="8">
        <v>0.0789</v>
      </c>
    </row>
    <row r="355" ht="19">
      <c r="A355" s="3">
        <v>2021</v>
      </c>
      <c r="B355" s="3">
        <v>20</v>
      </c>
      <c r="C355" s="3" t="inlineStr">
        <is>
          <t>OBWÓD 20</t>
        </is>
      </c>
      <c r="D355" s="4" t="inlineStr">
        <is>
          <t>SZKOŁA PODSTAWOWA NR 20</t>
        </is>
      </c>
      <c r="E355" s="4" t="inlineStr">
        <is>
          <t>Szkoły miejskie (SP nr 1-21)</t>
        </is>
      </c>
      <c r="F355" s="5">
        <v>44</v>
      </c>
      <c r="G355" s="8">
        <v>0.0631</v>
      </c>
    </row>
    <row r="356" ht="19">
      <c r="A356" s="3">
        <v>2021</v>
      </c>
      <c r="B356" s="3">
        <v>21</v>
      </c>
      <c r="C356" s="3" t="inlineStr">
        <is>
          <t>OBWÓD 21</t>
        </is>
      </c>
      <c r="D356" s="4" t="inlineStr">
        <is>
          <t>SZKOŁA PODSTAWOWA NR 21</t>
        </is>
      </c>
      <c r="E356" s="4" t="inlineStr">
        <is>
          <t>Szkoły miejskie (SP nr 1-21)</t>
        </is>
      </c>
      <c r="F356" s="5">
        <v>81</v>
      </c>
      <c r="G356" s="8">
        <v>0.1162</v>
      </c>
    </row>
    <row r="357" ht="19">
      <c r="A357" s="3">
        <v>2021</v>
      </c>
      <c r="B357" s="3">
        <v>22</v>
      </c>
      <c r="C357" s="3" t="inlineStr">
        <is>
          <t>OBWÓD 22</t>
        </is>
      </c>
      <c r="D357" s="4" t="inlineStr">
        <is>
          <t>SZKOŁA PODSTAWOWA W CHEŁMCU</t>
        </is>
      </c>
      <c r="E357" s="4" t="inlineStr">
        <is>
          <t>Obwody podmiejskie (Chełmiec / Piątkowa)</t>
        </is>
      </c>
      <c r="F357" s="5">
        <v>33</v>
      </c>
      <c r="G357" s="8">
        <v>0.0473</v>
      </c>
    </row>
    <row r="358" ht="19">
      <c r="A358" s="3">
        <v>2021</v>
      </c>
      <c r="B358" s="3">
        <v>23</v>
      </c>
      <c r="C358" s="3" t="inlineStr">
        <is>
          <t>OBWÓD 23</t>
        </is>
      </c>
      <c r="D358" s="4" t="inlineStr">
        <is>
          <t>SZKOŁA PODSTAWOWA W PIĄTKOWEJ</t>
        </is>
      </c>
      <c r="E358" s="4" t="inlineStr">
        <is>
          <t>Obwody podmiejskie (Chełmiec / Piątkowa)</t>
        </is>
      </c>
      <c r="F358" s="5">
        <v>13</v>
      </c>
      <c r="G358" s="8">
        <v>0.0187</v>
      </c>
    </row>
    <row r="359" ht="19">
      <c r="A359" s="3">
        <v>2022</v>
      </c>
      <c r="B359" s="3">
        <v>1</v>
      </c>
      <c r="C359" s="3" t="inlineStr">
        <is>
          <t>OBWÓD 1</t>
        </is>
      </c>
      <c r="D359" s="4" t="inlineStr">
        <is>
          <t>SZKOŁA PODSTAWOWA NR 1</t>
        </is>
      </c>
      <c r="E359" s="4" t="inlineStr">
        <is>
          <t>Szkoły miejskie (SP nr 1-21)</t>
        </is>
      </c>
      <c r="F359" s="5">
        <v>39</v>
      </c>
      <c r="G359" s="8">
        <v>0.0721</v>
      </c>
    </row>
    <row r="360" ht="19">
      <c r="A360" s="3">
        <v>2022</v>
      </c>
      <c r="B360" s="3">
        <v>2</v>
      </c>
      <c r="C360" s="3" t="inlineStr">
        <is>
          <t>OBWÓD 2</t>
        </is>
      </c>
      <c r="D360" s="4" t="inlineStr">
        <is>
          <t>SZKOŁA PODSTAWOWA NR 2</t>
        </is>
      </c>
      <c r="E360" s="4" t="inlineStr">
        <is>
          <t>Szkoły miejskie (SP nr 1-21)</t>
        </is>
      </c>
      <c r="F360" s="5">
        <v>34</v>
      </c>
      <c r="G360" s="8">
        <v>0.0628</v>
      </c>
    </row>
    <row r="361" ht="19">
      <c r="A361" s="3">
        <v>2022</v>
      </c>
      <c r="B361" s="3">
        <v>3</v>
      </c>
      <c r="C361" s="3" t="inlineStr">
        <is>
          <t>OBWÓD 3</t>
        </is>
      </c>
      <c r="D361" s="4" t="inlineStr">
        <is>
          <t>SZKOŁA PODSTAWOWA NR 3</t>
        </is>
      </c>
      <c r="E361" s="4" t="inlineStr">
        <is>
          <t>Szkoły miejskie (SP nr 1-21)</t>
        </is>
      </c>
      <c r="F361" s="5">
        <v>47</v>
      </c>
      <c r="G361" s="8">
        <v>0.0869</v>
      </c>
    </row>
    <row r="362" ht="19">
      <c r="A362" s="3">
        <v>2022</v>
      </c>
      <c r="B362" s="3">
        <v>6</v>
      </c>
      <c r="C362" s="3" t="inlineStr">
        <is>
          <t>OBWÓD 6</t>
        </is>
      </c>
      <c r="D362" s="4" t="inlineStr">
        <is>
          <t>SZKOŁA PODSTAWOWA NR 6</t>
        </is>
      </c>
      <c r="E362" s="4" t="inlineStr">
        <is>
          <t>Szkoły miejskie (SP nr 1-21)</t>
        </is>
      </c>
      <c r="F362" s="5">
        <v>9</v>
      </c>
      <c r="G362" s="8">
        <v>0.0166</v>
      </c>
    </row>
    <row r="363" ht="19">
      <c r="A363" s="3">
        <v>2022</v>
      </c>
      <c r="B363" s="3">
        <v>7</v>
      </c>
      <c r="C363" s="3" t="inlineStr">
        <is>
          <t>OBWÓD 7</t>
        </is>
      </c>
      <c r="D363" s="4" t="inlineStr">
        <is>
          <t>SZKOŁA PODSTAWOWA NR 7</t>
        </is>
      </c>
      <c r="E363" s="4" t="inlineStr">
        <is>
          <t>Szkoły miejskie (SP nr 1-21)</t>
        </is>
      </c>
      <c r="F363" s="5">
        <v>21</v>
      </c>
      <c r="G363" s="8">
        <v>0.0388</v>
      </c>
    </row>
    <row r="364" ht="19">
      <c r="A364" s="3">
        <v>2022</v>
      </c>
      <c r="B364" s="3">
        <v>8</v>
      </c>
      <c r="C364" s="3" t="inlineStr">
        <is>
          <t>OBWÓD 8</t>
        </is>
      </c>
      <c r="D364" s="4" t="inlineStr">
        <is>
          <t>SZKOŁA PODSTAWOWA NR 8</t>
        </is>
      </c>
      <c r="E364" s="4" t="inlineStr">
        <is>
          <t>Szkoły miejskie (SP nr 1-21)</t>
        </is>
      </c>
      <c r="F364" s="5">
        <v>35</v>
      </c>
      <c r="G364" s="8">
        <v>0.0647</v>
      </c>
    </row>
    <row r="365" ht="19">
      <c r="A365" s="3">
        <v>2022</v>
      </c>
      <c r="B365" s="3">
        <v>9</v>
      </c>
      <c r="C365" s="3" t="inlineStr">
        <is>
          <t>OBWÓD 9</t>
        </is>
      </c>
      <c r="D365" s="4" t="inlineStr">
        <is>
          <t>SZKOŁA PODSTAWOWA NR 9</t>
        </is>
      </c>
      <c r="E365" s="4" t="inlineStr">
        <is>
          <t>Szkoły miejskie (SP nr 1-21)</t>
        </is>
      </c>
      <c r="F365" s="5">
        <v>45</v>
      </c>
      <c r="G365" s="8">
        <v>0.0832</v>
      </c>
    </row>
    <row r="366" ht="19">
      <c r="A366" s="3">
        <v>2022</v>
      </c>
      <c r="B366" s="3">
        <v>11</v>
      </c>
      <c r="C366" s="3" t="inlineStr">
        <is>
          <t>OBWÓD 11</t>
        </is>
      </c>
      <c r="D366" s="4" t="inlineStr">
        <is>
          <t>SZKOŁA PODSTAWOWA NR 11</t>
        </is>
      </c>
      <c r="E366" s="4" t="inlineStr">
        <is>
          <t>Szkoły miejskie (SP nr 1-21)</t>
        </is>
      </c>
      <c r="F366" s="5">
        <v>14</v>
      </c>
      <c r="G366" s="8">
        <v>0.0259</v>
      </c>
    </row>
    <row r="367" ht="19">
      <c r="A367" s="3">
        <v>2022</v>
      </c>
      <c r="B367" s="3">
        <v>14</v>
      </c>
      <c r="C367" s="3" t="inlineStr">
        <is>
          <t>OBWÓD 14</t>
        </is>
      </c>
      <c r="D367" s="4" t="inlineStr">
        <is>
          <t>SZKOŁA PODSTAWOWA NR 14</t>
        </is>
      </c>
      <c r="E367" s="4" t="inlineStr">
        <is>
          <t>Szkoły miejskie (SP nr 1-21)</t>
        </is>
      </c>
      <c r="F367" s="5">
        <v>8</v>
      </c>
      <c r="G367" s="8">
        <v>0.0148</v>
      </c>
    </row>
    <row r="368" ht="19">
      <c r="A368" s="3">
        <v>2022</v>
      </c>
      <c r="B368" s="3">
        <v>15</v>
      </c>
      <c r="C368" s="3" t="inlineStr">
        <is>
          <t>OBWÓD 15</t>
        </is>
      </c>
      <c r="D368" s="4" t="inlineStr">
        <is>
          <t>SZKOŁA PODSTAWOWA NR 15</t>
        </is>
      </c>
      <c r="E368" s="4" t="inlineStr">
        <is>
          <t>Szkoły miejskie (SP nr 1-21)</t>
        </is>
      </c>
      <c r="F368" s="5">
        <v>33</v>
      </c>
      <c r="G368" s="8">
        <v>0.061</v>
      </c>
    </row>
    <row r="369" ht="19">
      <c r="A369" s="3">
        <v>2022</v>
      </c>
      <c r="B369" s="3">
        <v>16</v>
      </c>
      <c r="C369" s="3" t="inlineStr">
        <is>
          <t>OBWÓD 16</t>
        </is>
      </c>
      <c r="D369" s="4" t="inlineStr">
        <is>
          <t>SZKOŁA PODSTAWOWA NR 16</t>
        </is>
      </c>
      <c r="E369" s="4" t="inlineStr">
        <is>
          <t>Szkoły miejskie (SP nr 1-21)</t>
        </is>
      </c>
      <c r="F369" s="5">
        <v>47</v>
      </c>
      <c r="G369" s="8">
        <v>0.0869</v>
      </c>
    </row>
    <row r="370" ht="19">
      <c r="A370" s="3">
        <v>2022</v>
      </c>
      <c r="B370" s="3">
        <v>17</v>
      </c>
      <c r="C370" s="3" t="inlineStr">
        <is>
          <t>OBWÓD 17</t>
        </is>
      </c>
      <c r="D370" s="4" t="inlineStr">
        <is>
          <t>SZKOŁA PODSTAWOWA NR 17</t>
        </is>
      </c>
      <c r="E370" s="4" t="inlineStr">
        <is>
          <t>Szkoły miejskie (SP nr 1-21)</t>
        </is>
      </c>
      <c r="F370" s="5">
        <v>25</v>
      </c>
      <c r="G370" s="8">
        <v>0.0462</v>
      </c>
    </row>
    <row r="371" ht="19">
      <c r="A371" s="3">
        <v>2022</v>
      </c>
      <c r="B371" s="3">
        <v>18</v>
      </c>
      <c r="C371" s="3" t="inlineStr">
        <is>
          <t>OBWÓD 18</t>
        </is>
      </c>
      <c r="D371" s="4" t="inlineStr">
        <is>
          <t>SZKOŁA PODSTAWOWA NR 18</t>
        </is>
      </c>
      <c r="E371" s="4" t="inlineStr">
        <is>
          <t>Szkoły miejskie (SP nr 1-21)</t>
        </is>
      </c>
      <c r="F371" s="5">
        <v>46</v>
      </c>
      <c r="G371" s="8">
        <v>0.085</v>
      </c>
    </row>
    <row r="372" ht="19">
      <c r="A372" s="3">
        <v>2022</v>
      </c>
      <c r="B372" s="3">
        <v>20</v>
      </c>
      <c r="C372" s="3" t="inlineStr">
        <is>
          <t>OBWÓD 20</t>
        </is>
      </c>
      <c r="D372" s="4" t="inlineStr">
        <is>
          <t>SZKOŁA PODSTAWOWA NR 20</t>
        </is>
      </c>
      <c r="E372" s="4" t="inlineStr">
        <is>
          <t>Szkoły miejskie (SP nr 1-21)</t>
        </is>
      </c>
      <c r="F372" s="5">
        <v>29</v>
      </c>
      <c r="G372" s="8">
        <v>0.0536</v>
      </c>
    </row>
    <row r="373" ht="19">
      <c r="A373" s="3">
        <v>2022</v>
      </c>
      <c r="B373" s="3">
        <v>21</v>
      </c>
      <c r="C373" s="3" t="inlineStr">
        <is>
          <t>OBWÓD 21</t>
        </is>
      </c>
      <c r="D373" s="4" t="inlineStr">
        <is>
          <t>SZKOŁA PODSTAWOWA NR 21</t>
        </is>
      </c>
      <c r="E373" s="4" t="inlineStr">
        <is>
          <t>Szkoły miejskie (SP nr 1-21)</t>
        </is>
      </c>
      <c r="F373" s="5">
        <v>70</v>
      </c>
      <c r="G373" s="8">
        <v>0.1294</v>
      </c>
    </row>
    <row r="374" ht="19">
      <c r="A374" s="3">
        <v>2022</v>
      </c>
      <c r="B374" s="3">
        <v>22</v>
      </c>
      <c r="C374" s="3" t="inlineStr">
        <is>
          <t>OBWÓD 22</t>
        </is>
      </c>
      <c r="D374" s="4" t="inlineStr">
        <is>
          <t>SZKOŁA PODSTAWOWA W CHEŁMCU</t>
        </is>
      </c>
      <c r="E374" s="4" t="inlineStr">
        <is>
          <t>Obwody podmiejskie (Chełmiec / Piątkowa)</t>
        </is>
      </c>
      <c r="F374" s="5">
        <v>18</v>
      </c>
      <c r="G374" s="8">
        <v>0.0333</v>
      </c>
    </row>
    <row r="375" ht="19">
      <c r="A375" s="3">
        <v>2022</v>
      </c>
      <c r="B375" s="3">
        <v>23</v>
      </c>
      <c r="C375" s="3" t="inlineStr">
        <is>
          <t>OBWÓD 23</t>
        </is>
      </c>
      <c r="D375" s="4" t="inlineStr">
        <is>
          <t>SZKOŁA PODSTAWOWA W PIĄTKOWEJ</t>
        </is>
      </c>
      <c r="E375" s="4" t="inlineStr">
        <is>
          <t>Obwody podmiejskie (Chełmiec / Piątkowa)</t>
        </is>
      </c>
      <c r="F375" s="5">
        <v>21</v>
      </c>
      <c r="G375" s="8">
        <v>0.0388</v>
      </c>
    </row>
    <row r="376" ht="19">
      <c r="A376" s="3">
        <v>2023</v>
      </c>
      <c r="B376" s="3">
        <v>1</v>
      </c>
      <c r="C376" s="3" t="inlineStr">
        <is>
          <t>OBWÓD 1</t>
        </is>
      </c>
      <c r="D376" s="4" t="inlineStr">
        <is>
          <t>SZKOŁA PODSTAWOWA NR 1</t>
        </is>
      </c>
      <c r="E376" s="4" t="inlineStr">
        <is>
          <t>Szkoły miejskie (SP nr 1-21)</t>
        </is>
      </c>
      <c r="F376" s="5">
        <v>23</v>
      </c>
      <c r="G376" s="8">
        <v>0.0424</v>
      </c>
    </row>
    <row r="377" ht="19">
      <c r="A377" s="3">
        <v>2023</v>
      </c>
      <c r="B377" s="3">
        <v>2</v>
      </c>
      <c r="C377" s="3" t="inlineStr">
        <is>
          <t>OBWÓD 2</t>
        </is>
      </c>
      <c r="D377" s="4" t="inlineStr">
        <is>
          <t>SZKOŁA PODSTAWOWA NR 2</t>
        </is>
      </c>
      <c r="E377" s="4" t="inlineStr">
        <is>
          <t>Szkoły miejskie (SP nr 1-21)</t>
        </is>
      </c>
      <c r="F377" s="5">
        <v>26</v>
      </c>
      <c r="G377" s="8">
        <v>0.048</v>
      </c>
    </row>
    <row r="378" ht="19">
      <c r="A378" s="3">
        <v>2023</v>
      </c>
      <c r="B378" s="3">
        <v>3</v>
      </c>
      <c r="C378" s="3" t="inlineStr">
        <is>
          <t>OBWÓD 3</t>
        </is>
      </c>
      <c r="D378" s="4" t="inlineStr">
        <is>
          <t>SZKOŁA PODSTAWOWA NR 3</t>
        </is>
      </c>
      <c r="E378" s="4" t="inlineStr">
        <is>
          <t>Szkoły miejskie (SP nr 1-21)</t>
        </is>
      </c>
      <c r="F378" s="5">
        <v>50</v>
      </c>
      <c r="G378" s="8">
        <v>0.0923</v>
      </c>
    </row>
    <row r="379" ht="19">
      <c r="A379" s="3">
        <v>2023</v>
      </c>
      <c r="B379" s="3">
        <v>6</v>
      </c>
      <c r="C379" s="3" t="inlineStr">
        <is>
          <t>OBWÓD 6</t>
        </is>
      </c>
      <c r="D379" s="4" t="inlineStr">
        <is>
          <t>SZKOŁA PODSTAWOWA NR 6</t>
        </is>
      </c>
      <c r="E379" s="4" t="inlineStr">
        <is>
          <t>Szkoły miejskie (SP nr 1-21)</t>
        </is>
      </c>
      <c r="F379" s="5">
        <v>8</v>
      </c>
      <c r="G379" s="8">
        <v>0.0148</v>
      </c>
    </row>
    <row r="380" ht="19">
      <c r="A380" s="3">
        <v>2023</v>
      </c>
      <c r="B380" s="3">
        <v>7</v>
      </c>
      <c r="C380" s="3" t="inlineStr">
        <is>
          <t>OBWÓD 7</t>
        </is>
      </c>
      <c r="D380" s="4" t="inlineStr">
        <is>
          <t>SZKOŁA PODSTAWOWA NR 7</t>
        </is>
      </c>
      <c r="E380" s="4" t="inlineStr">
        <is>
          <t>Szkoły miejskie (SP nr 1-21)</t>
        </is>
      </c>
      <c r="F380" s="5">
        <v>27</v>
      </c>
      <c r="G380" s="8">
        <v>0.0498</v>
      </c>
    </row>
    <row r="381" ht="19">
      <c r="A381" s="3">
        <v>2023</v>
      </c>
      <c r="B381" s="3">
        <v>8</v>
      </c>
      <c r="C381" s="3" t="inlineStr">
        <is>
          <t>OBWÓD 8</t>
        </is>
      </c>
      <c r="D381" s="4" t="inlineStr">
        <is>
          <t>SZKOŁA PODSTAWOWA NR 8</t>
        </is>
      </c>
      <c r="E381" s="4" t="inlineStr">
        <is>
          <t>Szkoły miejskie (SP nr 1-21)</t>
        </is>
      </c>
      <c r="F381" s="5">
        <v>38</v>
      </c>
      <c r="G381" s="8">
        <v>0.0701</v>
      </c>
    </row>
    <row r="382" ht="19">
      <c r="A382" s="3">
        <v>2023</v>
      </c>
      <c r="B382" s="3">
        <v>9</v>
      </c>
      <c r="C382" s="3" t="inlineStr">
        <is>
          <t>OBWÓD 9</t>
        </is>
      </c>
      <c r="D382" s="4" t="inlineStr">
        <is>
          <t>SZKOŁA PODSTAWOWA NR 9</t>
        </is>
      </c>
      <c r="E382" s="4" t="inlineStr">
        <is>
          <t>Szkoły miejskie (SP nr 1-21)</t>
        </is>
      </c>
      <c r="F382" s="5">
        <v>48</v>
      </c>
      <c r="G382" s="8">
        <v>0.0886</v>
      </c>
    </row>
    <row r="383" ht="19">
      <c r="A383" s="3">
        <v>2023</v>
      </c>
      <c r="B383" s="3">
        <v>11</v>
      </c>
      <c r="C383" s="3" t="inlineStr">
        <is>
          <t>OBWÓD 11</t>
        </is>
      </c>
      <c r="D383" s="4" t="inlineStr">
        <is>
          <t>SZKOŁA PODSTAWOWA NR 11</t>
        </is>
      </c>
      <c r="E383" s="4" t="inlineStr">
        <is>
          <t>Szkoły miejskie (SP nr 1-21)</t>
        </is>
      </c>
      <c r="F383" s="5">
        <v>13</v>
      </c>
      <c r="G383" s="8">
        <v>0.024</v>
      </c>
    </row>
    <row r="384" ht="19">
      <c r="A384" s="3">
        <v>2023</v>
      </c>
      <c r="B384" s="3">
        <v>14</v>
      </c>
      <c r="C384" s="3" t="inlineStr">
        <is>
          <t>OBWÓD 14</t>
        </is>
      </c>
      <c r="D384" s="4" t="inlineStr">
        <is>
          <t>SZKOŁA PODSTAWOWA NR 14</t>
        </is>
      </c>
      <c r="E384" s="4" t="inlineStr">
        <is>
          <t>Szkoły miejskie (SP nr 1-21)</t>
        </is>
      </c>
      <c r="F384" s="5">
        <v>13</v>
      </c>
      <c r="G384" s="8">
        <v>0.024</v>
      </c>
    </row>
    <row r="385" ht="19">
      <c r="A385" s="3">
        <v>2023</v>
      </c>
      <c r="B385" s="3">
        <v>15</v>
      </c>
      <c r="C385" s="3" t="inlineStr">
        <is>
          <t>OBWÓD 15</t>
        </is>
      </c>
      <c r="D385" s="4" t="inlineStr">
        <is>
          <t>SZKOŁA PODSTAWOWA NR 15</t>
        </is>
      </c>
      <c r="E385" s="4" t="inlineStr">
        <is>
          <t>Szkoły miejskie (SP nr 1-21)</t>
        </is>
      </c>
      <c r="F385" s="5">
        <v>37</v>
      </c>
      <c r="G385" s="8">
        <v>0.0683</v>
      </c>
    </row>
    <row r="386" ht="19">
      <c r="A386" s="3">
        <v>2023</v>
      </c>
      <c r="B386" s="3">
        <v>16</v>
      </c>
      <c r="C386" s="3" t="inlineStr">
        <is>
          <t>OBWÓD 16</t>
        </is>
      </c>
      <c r="D386" s="4" t="inlineStr">
        <is>
          <t>SZKOŁA PODSTAWOWA NR 16</t>
        </is>
      </c>
      <c r="E386" s="4" t="inlineStr">
        <is>
          <t>Szkoły miejskie (SP nr 1-21)</t>
        </is>
      </c>
      <c r="F386" s="5">
        <v>53</v>
      </c>
      <c r="G386" s="8">
        <v>0.0978</v>
      </c>
    </row>
    <row r="387" ht="19">
      <c r="A387" s="3">
        <v>2023</v>
      </c>
      <c r="B387" s="3">
        <v>17</v>
      </c>
      <c r="C387" s="3" t="inlineStr">
        <is>
          <t>OBWÓD 17</t>
        </is>
      </c>
      <c r="D387" s="4" t="inlineStr">
        <is>
          <t>SZKOŁA PODSTAWOWA NR 17</t>
        </is>
      </c>
      <c r="E387" s="4" t="inlineStr">
        <is>
          <t>Szkoły miejskie (SP nr 1-21)</t>
        </is>
      </c>
      <c r="F387" s="5">
        <v>38</v>
      </c>
      <c r="G387" s="8">
        <v>0.0701</v>
      </c>
    </row>
    <row r="388" ht="19">
      <c r="A388" s="3">
        <v>2023</v>
      </c>
      <c r="B388" s="3">
        <v>18</v>
      </c>
      <c r="C388" s="3" t="inlineStr">
        <is>
          <t>OBWÓD 18</t>
        </is>
      </c>
      <c r="D388" s="4" t="inlineStr">
        <is>
          <t>SZKOŁA PODSTAWOWA NR 18</t>
        </is>
      </c>
      <c r="E388" s="4" t="inlineStr">
        <is>
          <t>Szkoły miejskie (SP nr 1-21)</t>
        </is>
      </c>
      <c r="F388" s="5">
        <v>46</v>
      </c>
      <c r="G388" s="8">
        <v>0.0849</v>
      </c>
    </row>
    <row r="389" ht="19">
      <c r="A389" s="3">
        <v>2023</v>
      </c>
      <c r="B389" s="3">
        <v>20</v>
      </c>
      <c r="C389" s="3" t="inlineStr">
        <is>
          <t>OBWÓD 20</t>
        </is>
      </c>
      <c r="D389" s="4" t="inlineStr">
        <is>
          <t>SZKOŁA PODSTAWOWA NR 20</t>
        </is>
      </c>
      <c r="E389" s="4" t="inlineStr">
        <is>
          <t>Szkoły miejskie (SP nr 1-21)</t>
        </is>
      </c>
      <c r="F389" s="5">
        <v>30</v>
      </c>
      <c r="G389" s="8">
        <v>0.0554</v>
      </c>
    </row>
    <row r="390" ht="19">
      <c r="A390" s="3">
        <v>2023</v>
      </c>
      <c r="B390" s="3">
        <v>21</v>
      </c>
      <c r="C390" s="3" t="inlineStr">
        <is>
          <t>OBWÓD 21</t>
        </is>
      </c>
      <c r="D390" s="4" t="inlineStr">
        <is>
          <t>SZKOŁA PODSTAWOWA NR 21</t>
        </is>
      </c>
      <c r="E390" s="4" t="inlineStr">
        <is>
          <t>Szkoły miejskie (SP nr 1-21)</t>
        </is>
      </c>
      <c r="F390" s="5">
        <v>60</v>
      </c>
      <c r="G390" s="8">
        <v>0.1107</v>
      </c>
    </row>
    <row r="391" ht="19">
      <c r="A391" s="3">
        <v>2023</v>
      </c>
      <c r="B391" s="3">
        <v>22</v>
      </c>
      <c r="C391" s="3" t="inlineStr">
        <is>
          <t>OBWÓD 22</t>
        </is>
      </c>
      <c r="D391" s="4" t="inlineStr">
        <is>
          <t>SZKOŁA PODSTAWOWA W CHEŁMCU</t>
        </is>
      </c>
      <c r="E391" s="4" t="inlineStr">
        <is>
          <t>Obwody podmiejskie (Chełmiec / Piątkowa)</t>
        </is>
      </c>
      <c r="F391" s="5">
        <v>14</v>
      </c>
      <c r="G391" s="8">
        <v>0.0258</v>
      </c>
    </row>
    <row r="392" ht="19">
      <c r="A392" s="3">
        <v>2023</v>
      </c>
      <c r="B392" s="3">
        <v>23</v>
      </c>
      <c r="C392" s="3" t="inlineStr">
        <is>
          <t>OBWÓD 23</t>
        </is>
      </c>
      <c r="D392" s="4" t="inlineStr">
        <is>
          <t>SZKOŁA PODSTAWOWA W PIĄTKOWEJ</t>
        </is>
      </c>
      <c r="E392" s="4" t="inlineStr">
        <is>
          <t>Obwody podmiejskie (Chełmiec / Piątkowa)</t>
        </is>
      </c>
      <c r="F392" s="5">
        <v>18</v>
      </c>
      <c r="G392" s="8">
        <v>0.0332</v>
      </c>
    </row>
    <row r="393" ht="19">
      <c r="A393" s="3">
        <v>2024</v>
      </c>
      <c r="B393" s="3">
        <v>1</v>
      </c>
      <c r="C393" s="3" t="inlineStr">
        <is>
          <t>OBWÓD 1</t>
        </is>
      </c>
      <c r="D393" s="4" t="inlineStr">
        <is>
          <t>SZKOŁA PODSTAWOWA NR 1</t>
        </is>
      </c>
      <c r="E393" s="4" t="inlineStr">
        <is>
          <t>Szkoły miejskie (SP nr 1-21)</t>
        </is>
      </c>
      <c r="F393" s="5">
        <v>19</v>
      </c>
      <c r="G393" s="8">
        <v>0.0403</v>
      </c>
    </row>
    <row r="394" ht="19">
      <c r="A394" s="3">
        <v>2024</v>
      </c>
      <c r="B394" s="3">
        <v>2</v>
      </c>
      <c r="C394" s="3" t="inlineStr">
        <is>
          <t>OBWÓD 2</t>
        </is>
      </c>
      <c r="D394" s="4" t="inlineStr">
        <is>
          <t>SZKOŁA PODSTAWOWA NR 2</t>
        </is>
      </c>
      <c r="E394" s="4" t="inlineStr">
        <is>
          <t>Szkoły miejskie (SP nr 1-21)</t>
        </is>
      </c>
      <c r="F394" s="5">
        <v>15</v>
      </c>
      <c r="G394" s="8">
        <v>0.0318</v>
      </c>
    </row>
    <row r="395" ht="19">
      <c r="A395" s="3">
        <v>2024</v>
      </c>
      <c r="B395" s="3">
        <v>3</v>
      </c>
      <c r="C395" s="3" t="inlineStr">
        <is>
          <t>OBWÓD 3</t>
        </is>
      </c>
      <c r="D395" s="4" t="inlineStr">
        <is>
          <t>SZKOŁA PODSTAWOWA NR 3</t>
        </is>
      </c>
      <c r="E395" s="4" t="inlineStr">
        <is>
          <t>Szkoły miejskie (SP nr 1-21)</t>
        </is>
      </c>
      <c r="F395" s="5">
        <v>37</v>
      </c>
      <c r="G395" s="8">
        <v>0.0786</v>
      </c>
    </row>
    <row r="396" ht="19">
      <c r="A396" s="3">
        <v>2024</v>
      </c>
      <c r="B396" s="3">
        <v>6</v>
      </c>
      <c r="C396" s="3" t="inlineStr">
        <is>
          <t>OBWÓD 6</t>
        </is>
      </c>
      <c r="D396" s="4" t="inlineStr">
        <is>
          <t>SZKOŁA PODSTAWOWA NR 6</t>
        </is>
      </c>
      <c r="E396" s="4" t="inlineStr">
        <is>
          <t>Szkoły miejskie (SP nr 1-21)</t>
        </is>
      </c>
      <c r="F396" s="5">
        <v>11</v>
      </c>
      <c r="G396" s="8">
        <v>0.0234</v>
      </c>
    </row>
    <row r="397" ht="19">
      <c r="A397" s="3">
        <v>2024</v>
      </c>
      <c r="B397" s="3">
        <v>7</v>
      </c>
      <c r="C397" s="3" t="inlineStr">
        <is>
          <t>OBWÓD 7</t>
        </is>
      </c>
      <c r="D397" s="4" t="inlineStr">
        <is>
          <t>SZKOŁA PODSTAWOWA NR 7</t>
        </is>
      </c>
      <c r="E397" s="4" t="inlineStr">
        <is>
          <t>Szkoły miejskie (SP nr 1-21)</t>
        </is>
      </c>
      <c r="F397" s="5">
        <v>17</v>
      </c>
      <c r="G397" s="8">
        <v>0.0361</v>
      </c>
    </row>
    <row r="398" ht="19">
      <c r="A398" s="3">
        <v>2024</v>
      </c>
      <c r="B398" s="3">
        <v>8</v>
      </c>
      <c r="C398" s="3" t="inlineStr">
        <is>
          <t>OBWÓD 8</t>
        </is>
      </c>
      <c r="D398" s="4" t="inlineStr">
        <is>
          <t>SZKOŁA PODSTAWOWA NR 8</t>
        </is>
      </c>
      <c r="E398" s="4" t="inlineStr">
        <is>
          <t>Szkoły miejskie (SP nr 1-21)</t>
        </is>
      </c>
      <c r="F398" s="5">
        <v>31</v>
      </c>
      <c r="G398" s="8">
        <v>0.0658</v>
      </c>
    </row>
    <row r="399" ht="19">
      <c r="A399" s="3">
        <v>2024</v>
      </c>
      <c r="B399" s="3">
        <v>9</v>
      </c>
      <c r="C399" s="3" t="inlineStr">
        <is>
          <t>OBWÓD 9</t>
        </is>
      </c>
      <c r="D399" s="4" t="inlineStr">
        <is>
          <t>SZKOŁA PODSTAWOWA NR 9</t>
        </is>
      </c>
      <c r="E399" s="4" t="inlineStr">
        <is>
          <t>Szkoły miejskie (SP nr 1-21)</t>
        </is>
      </c>
      <c r="F399" s="5">
        <v>51</v>
      </c>
      <c r="G399" s="8">
        <v>0.1083</v>
      </c>
    </row>
    <row r="400" ht="19">
      <c r="A400" s="3">
        <v>2024</v>
      </c>
      <c r="B400" s="3">
        <v>11</v>
      </c>
      <c r="C400" s="3" t="inlineStr">
        <is>
          <t>OBWÓD 11</t>
        </is>
      </c>
      <c r="D400" s="4" t="inlineStr">
        <is>
          <t>SZKOŁA PODSTAWOWA NR 11</t>
        </is>
      </c>
      <c r="E400" s="4" t="inlineStr">
        <is>
          <t>Szkoły miejskie (SP nr 1-21)</t>
        </is>
      </c>
      <c r="F400" s="5">
        <v>9</v>
      </c>
      <c r="G400" s="8">
        <v>0.0191</v>
      </c>
    </row>
    <row r="401" ht="19">
      <c r="A401" s="3">
        <v>2024</v>
      </c>
      <c r="B401" s="3">
        <v>14</v>
      </c>
      <c r="C401" s="3" t="inlineStr">
        <is>
          <t>OBWÓD 14</t>
        </is>
      </c>
      <c r="D401" s="4" t="inlineStr">
        <is>
          <t>SZKOŁA PODSTAWOWA NR 14</t>
        </is>
      </c>
      <c r="E401" s="4" t="inlineStr">
        <is>
          <t>Szkoły miejskie (SP nr 1-21)</t>
        </is>
      </c>
      <c r="F401" s="5">
        <v>14</v>
      </c>
      <c r="G401" s="8">
        <v>0.0297</v>
      </c>
    </row>
    <row r="402" ht="19">
      <c r="A402" s="3">
        <v>2024</v>
      </c>
      <c r="B402" s="3">
        <v>15</v>
      </c>
      <c r="C402" s="3" t="inlineStr">
        <is>
          <t>OBWÓD 15</t>
        </is>
      </c>
      <c r="D402" s="4" t="inlineStr">
        <is>
          <t>SZKOŁA PODSTAWOWA NR 15</t>
        </is>
      </c>
      <c r="E402" s="4" t="inlineStr">
        <is>
          <t>Szkoły miejskie (SP nr 1-21)</t>
        </is>
      </c>
      <c r="F402" s="5">
        <v>37</v>
      </c>
      <c r="G402" s="8">
        <v>0.0786</v>
      </c>
    </row>
    <row r="403" ht="19">
      <c r="A403" s="3">
        <v>2024</v>
      </c>
      <c r="B403" s="3">
        <v>16</v>
      </c>
      <c r="C403" s="3" t="inlineStr">
        <is>
          <t>OBWÓD 16</t>
        </is>
      </c>
      <c r="D403" s="4" t="inlineStr">
        <is>
          <t>SZKOŁA PODSTAWOWA NR 16</t>
        </is>
      </c>
      <c r="E403" s="4" t="inlineStr">
        <is>
          <t>Szkoły miejskie (SP nr 1-21)</t>
        </is>
      </c>
      <c r="F403" s="5">
        <v>34</v>
      </c>
      <c r="G403" s="8">
        <v>0.0722</v>
      </c>
    </row>
    <row r="404" ht="19">
      <c r="A404" s="3">
        <v>2024</v>
      </c>
      <c r="B404" s="3">
        <v>17</v>
      </c>
      <c r="C404" s="3" t="inlineStr">
        <is>
          <t>OBWÓD 17</t>
        </is>
      </c>
      <c r="D404" s="4" t="inlineStr">
        <is>
          <t>SZKOŁA PODSTAWOWA NR 17</t>
        </is>
      </c>
      <c r="E404" s="4" t="inlineStr">
        <is>
          <t>Szkoły miejskie (SP nr 1-21)</t>
        </is>
      </c>
      <c r="F404" s="5">
        <v>39</v>
      </c>
      <c r="G404" s="8">
        <v>0.0828</v>
      </c>
    </row>
    <row r="405" ht="19">
      <c r="A405" s="3">
        <v>2024</v>
      </c>
      <c r="B405" s="3">
        <v>18</v>
      </c>
      <c r="C405" s="3" t="inlineStr">
        <is>
          <t>OBWÓD 18</t>
        </is>
      </c>
      <c r="D405" s="4" t="inlineStr">
        <is>
          <t>SZKOŁA PODSTAWOWA NR 18</t>
        </is>
      </c>
      <c r="E405" s="4" t="inlineStr">
        <is>
          <t>Szkoły miejskie (SP nr 1-21)</t>
        </is>
      </c>
      <c r="F405" s="5">
        <v>31</v>
      </c>
      <c r="G405" s="8">
        <v>0.0658</v>
      </c>
    </row>
    <row r="406" ht="19">
      <c r="A406" s="3">
        <v>2024</v>
      </c>
      <c r="B406" s="3">
        <v>20</v>
      </c>
      <c r="C406" s="3" t="inlineStr">
        <is>
          <t>OBWÓD 20</t>
        </is>
      </c>
      <c r="D406" s="4" t="inlineStr">
        <is>
          <t>SZKOŁA PODSTAWOWA NR 20</t>
        </is>
      </c>
      <c r="E406" s="4" t="inlineStr">
        <is>
          <t>Szkoły miejskie (SP nr 1-21)</t>
        </is>
      </c>
      <c r="F406" s="5">
        <v>36</v>
      </c>
      <c r="G406" s="8">
        <v>0.0764</v>
      </c>
    </row>
    <row r="407" ht="19">
      <c r="A407" s="3">
        <v>2024</v>
      </c>
      <c r="B407" s="3">
        <v>21</v>
      </c>
      <c r="C407" s="3" t="inlineStr">
        <is>
          <t>OBWÓD 21</t>
        </is>
      </c>
      <c r="D407" s="4" t="inlineStr">
        <is>
          <t>SZKOŁA PODSTAWOWA NR 21</t>
        </is>
      </c>
      <c r="E407" s="4" t="inlineStr">
        <is>
          <t>Szkoły miejskie (SP nr 1-21)</t>
        </is>
      </c>
      <c r="F407" s="5">
        <v>55</v>
      </c>
      <c r="G407" s="8">
        <v>0.1168</v>
      </c>
    </row>
    <row r="408" ht="19">
      <c r="A408" s="3">
        <v>2024</v>
      </c>
      <c r="B408" s="3">
        <v>22</v>
      </c>
      <c r="C408" s="3" t="inlineStr">
        <is>
          <t>OBWÓD 22</t>
        </is>
      </c>
      <c r="D408" s="4" t="inlineStr">
        <is>
          <t>SZKOŁA PODSTAWOWA W CHEŁMCU</t>
        </is>
      </c>
      <c r="E408" s="4" t="inlineStr">
        <is>
          <t>Obwody podmiejskie (Chełmiec / Piątkowa)</t>
        </is>
      </c>
      <c r="F408" s="5">
        <v>18</v>
      </c>
      <c r="G408" s="8">
        <v>0.0382</v>
      </c>
    </row>
    <row r="409" ht="19">
      <c r="A409" s="3">
        <v>2024</v>
      </c>
      <c r="B409" s="3">
        <v>23</v>
      </c>
      <c r="C409" s="3" t="inlineStr">
        <is>
          <t>OBWÓD 23</t>
        </is>
      </c>
      <c r="D409" s="4" t="inlineStr">
        <is>
          <t>SZKOŁA PODSTAWOWA W PIĄTKOWEJ</t>
        </is>
      </c>
      <c r="E409" s="4" t="inlineStr">
        <is>
          <t>Obwody podmiejskie (Chełmiec / Piątkowa)</t>
        </is>
      </c>
      <c r="F409" s="5">
        <v>17</v>
      </c>
      <c r="G409" s="8">
        <v>0.0361</v>
      </c>
    </row>
    <row r="410" ht="19">
      <c r="A410" s="3">
        <v>2025</v>
      </c>
      <c r="B410" s="3">
        <v>1</v>
      </c>
      <c r="C410" s="3" t="inlineStr">
        <is>
          <t>OBWÓD 1</t>
        </is>
      </c>
      <c r="D410" s="4" t="inlineStr">
        <is>
          <t>SZKOŁA PODSTAWOWA NR 1</t>
        </is>
      </c>
      <c r="E410" s="4" t="inlineStr">
        <is>
          <t>Szkoły miejskie (SP nr 1-21)</t>
        </is>
      </c>
      <c r="F410" s="5">
        <v>18</v>
      </c>
      <c r="G410" s="8">
        <v>0.0433</v>
      </c>
    </row>
    <row r="411" ht="19">
      <c r="A411" s="3">
        <v>2025</v>
      </c>
      <c r="B411" s="3">
        <v>2</v>
      </c>
      <c r="C411" s="3" t="inlineStr">
        <is>
          <t>OBWÓD 2</t>
        </is>
      </c>
      <c r="D411" s="4" t="inlineStr">
        <is>
          <t>SZKOŁA PODSTAWOWA NR 2</t>
        </is>
      </c>
      <c r="E411" s="4" t="inlineStr">
        <is>
          <t>Szkoły miejskie (SP nr 1-21)</t>
        </is>
      </c>
      <c r="F411" s="5">
        <v>17</v>
      </c>
      <c r="G411" s="8">
        <v>0.0409</v>
      </c>
    </row>
    <row r="412" ht="19">
      <c r="A412" s="3">
        <v>2025</v>
      </c>
      <c r="B412" s="3">
        <v>3</v>
      </c>
      <c r="C412" s="3" t="inlineStr">
        <is>
          <t>OBWÓD 3</t>
        </is>
      </c>
      <c r="D412" s="4" t="inlineStr">
        <is>
          <t>SZKOŁA PODSTAWOWA NR 3</t>
        </is>
      </c>
      <c r="E412" s="4" t="inlineStr">
        <is>
          <t>Szkoły miejskie (SP nr 1-21)</t>
        </is>
      </c>
      <c r="F412" s="5">
        <v>44</v>
      </c>
      <c r="G412" s="8">
        <v>0.1058</v>
      </c>
    </row>
    <row r="413" ht="19">
      <c r="A413" s="3">
        <v>2025</v>
      </c>
      <c r="B413" s="3">
        <v>6</v>
      </c>
      <c r="C413" s="3" t="inlineStr">
        <is>
          <t>OBWÓD 6</t>
        </is>
      </c>
      <c r="D413" s="4" t="inlineStr">
        <is>
          <t>SZKOŁA PODSTAWOWA NR 6</t>
        </is>
      </c>
      <c r="E413" s="4" t="inlineStr">
        <is>
          <t>Szkoły miejskie (SP nr 1-21)</t>
        </is>
      </c>
      <c r="F413" s="5">
        <v>11</v>
      </c>
      <c r="G413" s="8">
        <v>0.0264</v>
      </c>
    </row>
    <row r="414" ht="19">
      <c r="A414" s="3">
        <v>2025</v>
      </c>
      <c r="B414" s="3">
        <v>7</v>
      </c>
      <c r="C414" s="3" t="inlineStr">
        <is>
          <t>OBWÓD 7</t>
        </is>
      </c>
      <c r="D414" s="4" t="inlineStr">
        <is>
          <t>SZKOŁA PODSTAWOWA NR 7</t>
        </is>
      </c>
      <c r="E414" s="4" t="inlineStr">
        <is>
          <t>Szkoły miejskie (SP nr 1-21)</t>
        </is>
      </c>
      <c r="F414" s="5">
        <v>23</v>
      </c>
      <c r="G414" s="8">
        <v>0.0553</v>
      </c>
    </row>
    <row r="415" ht="19">
      <c r="A415" s="3">
        <v>2025</v>
      </c>
      <c r="B415" s="3">
        <v>8</v>
      </c>
      <c r="C415" s="3" t="inlineStr">
        <is>
          <t>OBWÓD 8</t>
        </is>
      </c>
      <c r="D415" s="4" t="inlineStr">
        <is>
          <t>SZKOŁA PODSTAWOWA NR 8</t>
        </is>
      </c>
      <c r="E415" s="4" t="inlineStr">
        <is>
          <t>Szkoły miejskie (SP nr 1-21)</t>
        </is>
      </c>
      <c r="F415" s="5">
        <v>27</v>
      </c>
      <c r="G415" s="8">
        <v>0.0649</v>
      </c>
    </row>
    <row r="416" ht="19">
      <c r="A416" s="3">
        <v>2025</v>
      </c>
      <c r="B416" s="3">
        <v>9</v>
      </c>
      <c r="C416" s="3" t="inlineStr">
        <is>
          <t>OBWÓD 9</t>
        </is>
      </c>
      <c r="D416" s="4" t="inlineStr">
        <is>
          <t>SZKOŁA PODSTAWOWA NR 9</t>
        </is>
      </c>
      <c r="E416" s="4" t="inlineStr">
        <is>
          <t>Szkoły miejskie (SP nr 1-21)</t>
        </is>
      </c>
      <c r="F416" s="5">
        <v>27</v>
      </c>
      <c r="G416" s="8">
        <v>0.0649</v>
      </c>
    </row>
    <row r="417" ht="19">
      <c r="A417" s="3">
        <v>2025</v>
      </c>
      <c r="B417" s="3">
        <v>11</v>
      </c>
      <c r="C417" s="3" t="inlineStr">
        <is>
          <t>OBWÓD 11</t>
        </is>
      </c>
      <c r="D417" s="4" t="inlineStr">
        <is>
          <t>SZKOŁA PODSTAWOWA NR 11</t>
        </is>
      </c>
      <c r="E417" s="4" t="inlineStr">
        <is>
          <t>Szkoły miejskie (SP nr 1-21)</t>
        </is>
      </c>
      <c r="F417" s="5">
        <v>12</v>
      </c>
      <c r="G417" s="8">
        <v>0.0288</v>
      </c>
    </row>
    <row r="418" ht="19">
      <c r="A418" s="3">
        <v>2025</v>
      </c>
      <c r="B418" s="3">
        <v>14</v>
      </c>
      <c r="C418" s="3" t="inlineStr">
        <is>
          <t>OBWÓD 14</t>
        </is>
      </c>
      <c r="D418" s="4" t="inlineStr">
        <is>
          <t>SZKOŁA PODSTAWOWA NR 14</t>
        </is>
      </c>
      <c r="E418" s="4" t="inlineStr">
        <is>
          <t>Szkoły miejskie (SP nr 1-21)</t>
        </is>
      </c>
      <c r="F418" s="5">
        <v>8</v>
      </c>
      <c r="G418" s="8">
        <v>0.0192</v>
      </c>
    </row>
    <row r="419" ht="19">
      <c r="A419" s="3">
        <v>2025</v>
      </c>
      <c r="B419" s="3">
        <v>15</v>
      </c>
      <c r="C419" s="3" t="inlineStr">
        <is>
          <t>OBWÓD 15</t>
        </is>
      </c>
      <c r="D419" s="4" t="inlineStr">
        <is>
          <t>SZKOŁA PODSTAWOWA NR 15</t>
        </is>
      </c>
      <c r="E419" s="4" t="inlineStr">
        <is>
          <t>Szkoły miejskie (SP nr 1-21)</t>
        </is>
      </c>
      <c r="F419" s="5">
        <v>37</v>
      </c>
      <c r="G419" s="8">
        <v>0.0889</v>
      </c>
    </row>
    <row r="420" ht="19">
      <c r="A420" s="3">
        <v>2025</v>
      </c>
      <c r="B420" s="3">
        <v>16</v>
      </c>
      <c r="C420" s="3" t="inlineStr">
        <is>
          <t>OBWÓD 16</t>
        </is>
      </c>
      <c r="D420" s="4" t="inlineStr">
        <is>
          <t>SZKOŁA PODSTAWOWA NR 16</t>
        </is>
      </c>
      <c r="E420" s="4" t="inlineStr">
        <is>
          <t>Szkoły miejskie (SP nr 1-21)</t>
        </is>
      </c>
      <c r="F420" s="5">
        <v>30</v>
      </c>
      <c r="G420" s="8">
        <v>0.0721</v>
      </c>
    </row>
    <row r="421" ht="19">
      <c r="A421" s="3">
        <v>2025</v>
      </c>
      <c r="B421" s="3">
        <v>17</v>
      </c>
      <c r="C421" s="3" t="inlineStr">
        <is>
          <t>OBWÓD 17</t>
        </is>
      </c>
      <c r="D421" s="4" t="inlineStr">
        <is>
          <t>SZKOŁA PODSTAWOWA NR 17</t>
        </is>
      </c>
      <c r="E421" s="4" t="inlineStr">
        <is>
          <t>Szkoły miejskie (SP nr 1-21)</t>
        </is>
      </c>
      <c r="F421" s="5">
        <v>26</v>
      </c>
      <c r="G421" s="8">
        <v>0.0625</v>
      </c>
    </row>
    <row r="422" ht="19">
      <c r="A422" s="3">
        <v>2025</v>
      </c>
      <c r="B422" s="3">
        <v>18</v>
      </c>
      <c r="C422" s="3" t="inlineStr">
        <is>
          <t>OBWÓD 18</t>
        </is>
      </c>
      <c r="D422" s="4" t="inlineStr">
        <is>
          <t>SZKOŁA PODSTAWOWA NR 18</t>
        </is>
      </c>
      <c r="E422" s="4" t="inlineStr">
        <is>
          <t>Szkoły miejskie (SP nr 1-21)</t>
        </is>
      </c>
      <c r="F422" s="5">
        <v>37</v>
      </c>
      <c r="G422" s="8">
        <v>0.0889</v>
      </c>
    </row>
    <row r="423" ht="19">
      <c r="A423" s="3">
        <v>2025</v>
      </c>
      <c r="B423" s="3">
        <v>20</v>
      </c>
      <c r="C423" s="3" t="inlineStr">
        <is>
          <t>OBWÓD 20</t>
        </is>
      </c>
      <c r="D423" s="4" t="inlineStr">
        <is>
          <t>SZKOŁA PODSTAWOWA NR 20</t>
        </is>
      </c>
      <c r="E423" s="4" t="inlineStr">
        <is>
          <t>Szkoły miejskie (SP nr 1-21)</t>
        </is>
      </c>
      <c r="F423" s="5">
        <v>26</v>
      </c>
      <c r="G423" s="8">
        <v>0.0625</v>
      </c>
    </row>
    <row r="424" ht="19">
      <c r="A424" s="3">
        <v>2025</v>
      </c>
      <c r="B424" s="3">
        <v>21</v>
      </c>
      <c r="C424" s="3" t="inlineStr">
        <is>
          <t>OBWÓD 21</t>
        </is>
      </c>
      <c r="D424" s="4" t="inlineStr">
        <is>
          <t>SZKOŁA PODSTAWOWA NR 21</t>
        </is>
      </c>
      <c r="E424" s="4" t="inlineStr">
        <is>
          <t>Szkoły miejskie (SP nr 1-21)</t>
        </is>
      </c>
      <c r="F424" s="5">
        <v>44</v>
      </c>
      <c r="G424" s="8">
        <v>0.1058</v>
      </c>
    </row>
    <row r="425" ht="19">
      <c r="A425" s="3">
        <v>2025</v>
      </c>
      <c r="B425" s="3">
        <v>22</v>
      </c>
      <c r="C425" s="3" t="inlineStr">
        <is>
          <t>OBWÓD 22</t>
        </is>
      </c>
      <c r="D425" s="4" t="inlineStr">
        <is>
          <t>SZKOŁA PODSTAWOWA W CHEŁMCU</t>
        </is>
      </c>
      <c r="E425" s="4" t="inlineStr">
        <is>
          <t>Obwody podmiejskie (Chełmiec / Piątkowa)</t>
        </is>
      </c>
      <c r="F425" s="5">
        <v>15</v>
      </c>
      <c r="G425" s="8">
        <v>0.0361</v>
      </c>
    </row>
    <row r="426" ht="19">
      <c r="A426" s="3">
        <v>2025</v>
      </c>
      <c r="B426" s="3">
        <v>23</v>
      </c>
      <c r="C426" s="3" t="inlineStr">
        <is>
          <t>OBWÓD 23</t>
        </is>
      </c>
      <c r="D426" s="4" t="inlineStr">
        <is>
          <t>SZKOŁA PODSTAWOWA W PIĄTKOWEJ</t>
        </is>
      </c>
      <c r="E426" s="4" t="inlineStr">
        <is>
          <t>Obwody podmiejskie (Chełmiec / Piątkowa)</t>
        </is>
      </c>
      <c r="F426" s="5">
        <v>14</v>
      </c>
      <c r="G426" s="8">
        <v>0.0337</v>
      </c>
    </row>
    <row r="427" ht="19">
      <c r="A427" s="3">
        <v>2026</v>
      </c>
      <c r="B427" s="3">
        <v>1</v>
      </c>
      <c r="C427" s="3" t="inlineStr">
        <is>
          <t>OBWÓD 1</t>
        </is>
      </c>
      <c r="D427" s="4" t="inlineStr">
        <is>
          <t>SZKOŁA PODSTAWOWA NR 1</t>
        </is>
      </c>
      <c r="E427" s="4" t="inlineStr">
        <is>
          <t>Szkoły miejskie (SP nr 1-21)</t>
        </is>
      </c>
      <c r="F427" s="5">
        <v>28</v>
      </c>
      <c r="G427" s="8">
        <v>0.0789</v>
      </c>
    </row>
    <row r="428" ht="19">
      <c r="A428" s="3">
        <v>2026</v>
      </c>
      <c r="B428" s="3">
        <v>2</v>
      </c>
      <c r="C428" s="3" t="inlineStr">
        <is>
          <t>OBWÓD 2</t>
        </is>
      </c>
      <c r="D428" s="4" t="inlineStr">
        <is>
          <t>SZKOŁA PODSTAWOWA NR 2</t>
        </is>
      </c>
      <c r="E428" s="4" t="inlineStr">
        <is>
          <t>Szkoły miejskie (SP nr 1-21)</t>
        </is>
      </c>
      <c r="F428" s="5">
        <v>21</v>
      </c>
      <c r="G428" s="8">
        <v>0.0592</v>
      </c>
    </row>
    <row r="429" ht="19">
      <c r="A429" s="3">
        <v>2026</v>
      </c>
      <c r="B429" s="3">
        <v>3</v>
      </c>
      <c r="C429" s="3" t="inlineStr">
        <is>
          <t>OBWÓD 3</t>
        </is>
      </c>
      <c r="D429" s="4" t="inlineStr">
        <is>
          <t>SZKOŁA PODSTAWOWA NR 3</t>
        </is>
      </c>
      <c r="E429" s="4" t="inlineStr">
        <is>
          <t>Szkoły miejskie (SP nr 1-21)</t>
        </is>
      </c>
      <c r="F429" s="5">
        <v>20</v>
      </c>
      <c r="G429" s="8">
        <v>0.0563</v>
      </c>
    </row>
    <row r="430" ht="19">
      <c r="A430" s="3">
        <v>2026</v>
      </c>
      <c r="B430" s="3">
        <v>6</v>
      </c>
      <c r="C430" s="3" t="inlineStr">
        <is>
          <t>OBWÓD 6</t>
        </is>
      </c>
      <c r="D430" s="4" t="inlineStr">
        <is>
          <t>SZKOŁA PODSTAWOWA NR 6</t>
        </is>
      </c>
      <c r="E430" s="4" t="inlineStr">
        <is>
          <t>Szkoły miejskie (SP nr 1-21)</t>
        </is>
      </c>
      <c r="F430" s="5">
        <v>9</v>
      </c>
      <c r="G430" s="8">
        <v>0.0254</v>
      </c>
    </row>
    <row r="431" ht="19">
      <c r="A431" s="3">
        <v>2026</v>
      </c>
      <c r="B431" s="3">
        <v>7</v>
      </c>
      <c r="C431" s="3" t="inlineStr">
        <is>
          <t>OBWÓD 7</t>
        </is>
      </c>
      <c r="D431" s="4" t="inlineStr">
        <is>
          <t>SZKOŁA PODSTAWOWA NR 7</t>
        </is>
      </c>
      <c r="E431" s="4" t="inlineStr">
        <is>
          <t>Szkoły miejskie (SP nr 1-21)</t>
        </is>
      </c>
      <c r="F431" s="5">
        <v>22</v>
      </c>
      <c r="G431" s="8">
        <v>0.062</v>
      </c>
    </row>
    <row r="432" ht="19">
      <c r="A432" s="3">
        <v>2026</v>
      </c>
      <c r="B432" s="3">
        <v>8</v>
      </c>
      <c r="C432" s="3" t="inlineStr">
        <is>
          <t>OBWÓD 8</t>
        </is>
      </c>
      <c r="D432" s="4" t="inlineStr">
        <is>
          <t>SZKOŁA PODSTAWOWA NR 8</t>
        </is>
      </c>
      <c r="E432" s="4" t="inlineStr">
        <is>
          <t>Szkoły miejskie (SP nr 1-21)</t>
        </is>
      </c>
      <c r="F432" s="5">
        <v>26</v>
      </c>
      <c r="G432" s="8">
        <v>0.0732</v>
      </c>
    </row>
    <row r="433" ht="19">
      <c r="A433" s="3">
        <v>2026</v>
      </c>
      <c r="B433" s="3">
        <v>9</v>
      </c>
      <c r="C433" s="3" t="inlineStr">
        <is>
          <t>OBWÓD 9</t>
        </is>
      </c>
      <c r="D433" s="4" t="inlineStr">
        <is>
          <t>SZKOŁA PODSTAWOWA NR 9</t>
        </is>
      </c>
      <c r="E433" s="4" t="inlineStr">
        <is>
          <t>Szkoły miejskie (SP nr 1-21)</t>
        </is>
      </c>
      <c r="F433" s="5">
        <v>26</v>
      </c>
      <c r="G433" s="8">
        <v>0.0732</v>
      </c>
    </row>
    <row r="434" ht="19">
      <c r="A434" s="3">
        <v>2026</v>
      </c>
      <c r="B434" s="3">
        <v>11</v>
      </c>
      <c r="C434" s="3" t="inlineStr">
        <is>
          <t>OBWÓD 11</t>
        </is>
      </c>
      <c r="D434" s="4" t="inlineStr">
        <is>
          <t>SZKOŁA PODSTAWOWA NR 11</t>
        </is>
      </c>
      <c r="E434" s="4" t="inlineStr">
        <is>
          <t>Szkoły miejskie (SP nr 1-21)</t>
        </is>
      </c>
      <c r="F434" s="5">
        <v>8</v>
      </c>
      <c r="G434" s="8">
        <v>0.0225</v>
      </c>
    </row>
    <row r="435" ht="19">
      <c r="A435" s="3">
        <v>2026</v>
      </c>
      <c r="B435" s="3">
        <v>14</v>
      </c>
      <c r="C435" s="3" t="inlineStr">
        <is>
          <t>OBWÓD 14</t>
        </is>
      </c>
      <c r="D435" s="4" t="inlineStr">
        <is>
          <t>SZKOŁA PODSTAWOWA NR 14</t>
        </is>
      </c>
      <c r="E435" s="4" t="inlineStr">
        <is>
          <t>Szkoły miejskie (SP nr 1-21)</t>
        </is>
      </c>
      <c r="F435" s="5">
        <v>6</v>
      </c>
      <c r="G435" s="8">
        <v>0.0169</v>
      </c>
    </row>
    <row r="436" ht="19">
      <c r="A436" s="3">
        <v>2026</v>
      </c>
      <c r="B436" s="3">
        <v>15</v>
      </c>
      <c r="C436" s="3" t="inlineStr">
        <is>
          <t>OBWÓD 15</t>
        </is>
      </c>
      <c r="D436" s="4" t="inlineStr">
        <is>
          <t>SZKOŁA PODSTAWOWA NR 15</t>
        </is>
      </c>
      <c r="E436" s="4" t="inlineStr">
        <is>
          <t>Szkoły miejskie (SP nr 1-21)</t>
        </is>
      </c>
      <c r="F436" s="5">
        <v>17</v>
      </c>
      <c r="G436" s="8">
        <v>0.0479</v>
      </c>
    </row>
    <row r="437" ht="19">
      <c r="A437" s="3">
        <v>2026</v>
      </c>
      <c r="B437" s="3">
        <v>16</v>
      </c>
      <c r="C437" s="3" t="inlineStr">
        <is>
          <t>OBWÓD 16</t>
        </is>
      </c>
      <c r="D437" s="4" t="inlineStr">
        <is>
          <t>SZKOŁA PODSTAWOWA NR 16</t>
        </is>
      </c>
      <c r="E437" s="4" t="inlineStr">
        <is>
          <t>Szkoły miejskie (SP nr 1-21)</t>
        </is>
      </c>
      <c r="F437" s="5">
        <v>37</v>
      </c>
      <c r="G437" s="8">
        <v>0.1042</v>
      </c>
    </row>
    <row r="438" ht="19">
      <c r="A438" s="3">
        <v>2026</v>
      </c>
      <c r="B438" s="3">
        <v>17</v>
      </c>
      <c r="C438" s="3" t="inlineStr">
        <is>
          <t>OBWÓD 17</t>
        </is>
      </c>
      <c r="D438" s="4" t="inlineStr">
        <is>
          <t>SZKOŁA PODSTAWOWA NR 17</t>
        </is>
      </c>
      <c r="E438" s="4" t="inlineStr">
        <is>
          <t>Szkoły miejskie (SP nr 1-21)</t>
        </is>
      </c>
      <c r="F438" s="5">
        <v>27</v>
      </c>
      <c r="G438" s="8">
        <v>0.0761</v>
      </c>
    </row>
    <row r="439" ht="19">
      <c r="A439" s="3">
        <v>2026</v>
      </c>
      <c r="B439" s="3">
        <v>18</v>
      </c>
      <c r="C439" s="3" t="inlineStr">
        <is>
          <t>OBWÓD 18</t>
        </is>
      </c>
      <c r="D439" s="4" t="inlineStr">
        <is>
          <t>SZKOŁA PODSTAWOWA NR 18</t>
        </is>
      </c>
      <c r="E439" s="4" t="inlineStr">
        <is>
          <t>Szkoły miejskie (SP nr 1-21)</t>
        </is>
      </c>
      <c r="F439" s="5">
        <v>23</v>
      </c>
      <c r="G439" s="8">
        <v>0.0648</v>
      </c>
    </row>
    <row r="440" ht="19">
      <c r="A440" s="3">
        <v>2026</v>
      </c>
      <c r="B440" s="3">
        <v>20</v>
      </c>
      <c r="C440" s="3" t="inlineStr">
        <is>
          <t>OBWÓD 20</t>
        </is>
      </c>
      <c r="D440" s="4" t="inlineStr">
        <is>
          <t>SZKOŁA PODSTAWOWA NR 20</t>
        </is>
      </c>
      <c r="E440" s="4" t="inlineStr">
        <is>
          <t>Szkoły miejskie (SP nr 1-21)</t>
        </is>
      </c>
      <c r="F440" s="5">
        <v>23</v>
      </c>
      <c r="G440" s="8">
        <v>0.0648</v>
      </c>
    </row>
    <row r="441" ht="19">
      <c r="A441" s="3">
        <v>2026</v>
      </c>
      <c r="B441" s="3">
        <v>21</v>
      </c>
      <c r="C441" s="3" t="inlineStr">
        <is>
          <t>OBWÓD 21</t>
        </is>
      </c>
      <c r="D441" s="4" t="inlineStr">
        <is>
          <t>SZKOŁA PODSTAWOWA NR 21</t>
        </is>
      </c>
      <c r="E441" s="4" t="inlineStr">
        <is>
          <t>Szkoły miejskie (SP nr 1-21)</t>
        </is>
      </c>
      <c r="F441" s="5">
        <v>32</v>
      </c>
      <c r="G441" s="8">
        <v>0.0901</v>
      </c>
    </row>
    <row r="442" ht="19">
      <c r="A442" s="3">
        <v>2026</v>
      </c>
      <c r="B442" s="3">
        <v>22</v>
      </c>
      <c r="C442" s="3" t="inlineStr">
        <is>
          <t>OBWÓD 22</t>
        </is>
      </c>
      <c r="D442" s="4" t="inlineStr">
        <is>
          <t>SZKOŁA PODSTAWOWA W CHEŁMCU</t>
        </is>
      </c>
      <c r="E442" s="4" t="inlineStr">
        <is>
          <t>Obwody podmiejskie (Chełmiec / Piątkowa)</t>
        </is>
      </c>
      <c r="F442" s="5">
        <v>14</v>
      </c>
      <c r="G442" s="8">
        <v>0.0394</v>
      </c>
    </row>
    <row r="443" ht="19">
      <c r="A443" s="3">
        <v>2026</v>
      </c>
      <c r="B443" s="3">
        <v>23</v>
      </c>
      <c r="C443" s="3" t="inlineStr">
        <is>
          <t>OBWÓD 23</t>
        </is>
      </c>
      <c r="D443" s="4" t="inlineStr">
        <is>
          <t>SZKOŁA PODSTAWOWA W PIĄTKOWEJ</t>
        </is>
      </c>
      <c r="E443" s="4" t="inlineStr">
        <is>
          <t>Obwody podmiejskie (Chełmiec / Piątkowa)</t>
        </is>
      </c>
      <c r="F443" s="5">
        <v>16</v>
      </c>
      <c r="G443" s="8">
        <v>0.0451</v>
      </c>
    </row>
  </sheetData>
  <autoFilter ref="A1:G443"/>
</worksheet>
</file>