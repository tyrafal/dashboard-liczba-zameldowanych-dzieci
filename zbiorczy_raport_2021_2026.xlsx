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cierz_Szkoly_Roczniki" sheetId="1" r:id="rId1"/>
    <sheet name="Roczniki_Szkoly" sheetId="2" r:id="rId2"/>
    <sheet name="Baza_Danych_Plaska" sheetId="3" r:id="rId3"/>
  </sheets>
</workbook>
</file>

<file path=xl/styles.xml><?xml version="1.0" encoding="utf-8"?>
<styleSheet xmlns="http://schemas.openxmlformats.org/spreadsheetml/2006/main">
  <numFmts count="3">
    <numFmt numFmtId="164" formatCode="#,##0"/>
    <numFmt numFmtId="165" formatCode="#,##0.0"/>
    <numFmt numFmtId="166" formatCode="0.00%"/>
  </numFmts>
  <fonts count="4">
    <font>
      <sz val="10"/>
      <color rgb="FF0F172A"/>
      <name val="Segoe UI"/>
    </font>
    <font>
      <b/>
      <sz val="10"/>
      <color rgb="FFFFFFFF"/>
      <name val="Segoe UI"/>
    </font>
    <font>
      <b/>
      <sz val="10"/>
      <color rgb="FF0F172A"/>
      <name val="Segoe UI"/>
    </font>
    <font>
      <b/>
      <sz val="10"/>
      <color rgb="FF1E3A8A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1D4ED8"/>
      </patternFill>
    </fill>
    <fill>
      <patternFill patternType="solid">
        <fgColor rgb="FFF1F5F9"/>
      </patternFill>
    </fill>
    <fill>
      <patternFill patternType="solid">
        <fgColor rgb="FFDBEAFE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94A3B8"/>
      </left>
      <right style="thin">
        <color rgb="FF94A3B8"/>
      </right>
      <top style="medium">
        <color rgb="FF1E293B"/>
      </top>
      <bottom style="double">
        <color rgb="FF1E293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164" fontId="0" fillId="0" borderId="1" xfId="0" applyNumberFormat="1" applyFont="1" applyBorder="1" applyAlignment="1">
      <alignment horizontal="right" vertical="center"/>
    </xf>
    <xf numFmtId="164" fontId="3" fillId="5" borderId="1" xfId="0" applyNumberFormat="1" applyFont="1" applyFill="1" applyBorder="1" applyAlignment="1">
      <alignment horizontal="right" vertical="center"/>
    </xf>
    <xf numFmtId="165" fontId="0" fillId="4" borderId="1" xfId="0" applyNumberFormat="1" applyFont="1" applyFill="1" applyBorder="1" applyAlignment="1">
      <alignment horizontal="right" vertical="center"/>
    </xf>
    <xf numFmtId="166" fontId="0" fillId="4" borderId="1" xfId="0" applyNumberFormat="1" applyFont="1" applyFill="1" applyBorder="1" applyAlignment="1">
      <alignment horizontal="right" vertical="center"/>
    </xf>
    <xf numFmtId="0" fontId="2" fillId="5" borderId="2" xfId="0" applyFont="1" applyFill="1" applyBorder="1" applyAlignment="1">
      <alignment horizontal="left" vertical="center"/>
    </xf>
    <xf numFmtId="164" fontId="2" fillId="5" borderId="2" xfId="0" applyNumberFormat="1" applyFont="1" applyFill="1" applyBorder="1" applyAlignment="1">
      <alignment horizontal="right" vertical="center"/>
    </xf>
    <xf numFmtId="165" fontId="2" fillId="5" borderId="2" xfId="0" applyNumberFormat="1" applyFont="1" applyFill="1" applyBorder="1" applyAlignment="1">
      <alignment horizontal="right" vertical="center"/>
    </xf>
    <xf numFmtId="166" fontId="2" fillId="5" borderId="2" xfId="0" applyNumberFormat="1" applyFont="1" applyFill="1" applyBorder="1" applyAlignment="1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pane xSplit="3" ySplit="1" topLeftCell="D2" activePane="bottomRight" state="frozen"/>
      <selection pane="bottomRight" activeCell="D2" sqref="D2"/>
    </sheetView>
  </sheetViews>
  <sheetFormatPr defaultRowHeight="18"/>
  <cols>
    <col min="1" max="1" width="14" customWidth="1"/>
    <col min="2" max="2" width="36" customWidth="1"/>
    <col min="3" max="3" width="15" customWidth="1"/>
    <col min="4" max="9" width="8.5" customWidth="1"/>
    <col min="10" max="14" width="13" customWidth="1"/>
  </cols>
  <sheetData>
    <row r="1" ht="28" customHeight="1">
      <c r="A1" s="1" t="inlineStr">
        <is>
          <t>OKRĘG/OBWÓD</t>
        </is>
      </c>
      <c r="B1" s="1" t="inlineStr">
        <is>
          <t>SZKOŁA (SIEDZIBA)</t>
        </is>
      </c>
      <c r="C1" s="1" t="inlineStr">
        <is>
          <t>KATEGORIA</t>
        </is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2" t="inlineStr">
        <is>
          <t>SUMA</t>
        </is>
      </c>
      <c r="K1" s="2" t="inlineStr">
        <is>
          <t>ŚREDNIA</t>
        </is>
      </c>
      <c r="L1" s="2" t="inlineStr">
        <is>
          <t>MIN</t>
        </is>
      </c>
      <c r="M1" s="2" t="inlineStr">
        <is>
          <t>MAX</t>
        </is>
      </c>
      <c r="N1" s="2" t="inlineStr">
        <is>
          <t>UDZIAŁ %</t>
        </is>
      </c>
    </row>
    <row r="2" ht="20" customHeight="1">
      <c r="A2" s="3" t="inlineStr">
        <is>
          <t>OBWÓD 1</t>
        </is>
      </c>
      <c r="B2" s="4" t="inlineStr">
        <is>
          <t>SZKOŁA PODSTAWOWA NR 1</t>
        </is>
      </c>
      <c r="C2" s="3" t="inlineStr">
        <is>
          <t>Miejskie</t>
        </is>
      </c>
      <c r="D2" s="5">
        <v>38</v>
      </c>
      <c r="E2" s="5">
        <v>39</v>
      </c>
      <c r="F2" s="5">
        <v>23</v>
      </c>
      <c r="G2" s="5">
        <v>19</v>
      </c>
      <c r="H2" s="5">
        <v>18</v>
      </c>
      <c r="I2" s="5">
        <v>28</v>
      </c>
      <c r="J2" s="6">
        <f>SUM(D2:I2)</f>
        <v>165</v>
      </c>
      <c r="K2" s="7">
        <f>AVERAGE(D2:I2)</f>
        <v>27.5</v>
      </c>
      <c r="L2" s="5">
        <f>MIN(D2:I2)</f>
        <v>18</v>
      </c>
      <c r="M2" s="5">
        <f>MAX(D2:I2)</f>
        <v>39</v>
      </c>
      <c r="N2" s="8">
        <f>J2/$J$19</f>
        <v>0.0546</v>
      </c>
    </row>
    <row r="3" ht="20" customHeight="1">
      <c r="A3" s="3" t="inlineStr">
        <is>
          <t>OBWÓD 2</t>
        </is>
      </c>
      <c r="B3" s="4" t="inlineStr">
        <is>
          <t>SZKOŁA PODSTAWOWA NR 2</t>
        </is>
      </c>
      <c r="C3" s="3" t="inlineStr">
        <is>
          <t>Miejskie</t>
        </is>
      </c>
      <c r="D3" s="5">
        <v>32</v>
      </c>
      <c r="E3" s="5">
        <v>34</v>
      </c>
      <c r="F3" s="5">
        <v>26</v>
      </c>
      <c r="G3" s="5">
        <v>15</v>
      </c>
      <c r="H3" s="5">
        <v>17</v>
      </c>
      <c r="I3" s="5">
        <v>21</v>
      </c>
      <c r="J3" s="6">
        <f>SUM(D3:I3)</f>
        <v>145</v>
      </c>
      <c r="K3" s="7">
        <f>AVERAGE(D3:I3)</f>
        <v>24.2</v>
      </c>
      <c r="L3" s="5">
        <f>MIN(D3:I3)</f>
        <v>15</v>
      </c>
      <c r="M3" s="5">
        <f>MAX(D3:I3)</f>
        <v>34</v>
      </c>
      <c r="N3" s="8">
        <f>J3/$J$19</f>
        <v>0.048</v>
      </c>
    </row>
    <row r="4" ht="20" customHeight="1">
      <c r="A4" s="3" t="inlineStr">
        <is>
          <t>OBWÓD 3</t>
        </is>
      </c>
      <c r="B4" s="4" t="inlineStr">
        <is>
          <t>SZKOŁA PODSTAWOWA NR 3</t>
        </is>
      </c>
      <c r="C4" s="3" t="inlineStr">
        <is>
          <t>Miejskie</t>
        </is>
      </c>
      <c r="D4" s="5">
        <v>48</v>
      </c>
      <c r="E4" s="5">
        <v>47</v>
      </c>
      <c r="F4" s="5">
        <v>50</v>
      </c>
      <c r="G4" s="5">
        <v>37</v>
      </c>
      <c r="H4" s="5">
        <v>44</v>
      </c>
      <c r="I4" s="5">
        <v>20</v>
      </c>
      <c r="J4" s="6">
        <f>SUM(D4:I4)</f>
        <v>246</v>
      </c>
      <c r="K4" s="7">
        <f>AVERAGE(D4:I4)</f>
        <v>41</v>
      </c>
      <c r="L4" s="5">
        <f>MIN(D4:I4)</f>
        <v>20</v>
      </c>
      <c r="M4" s="5">
        <f>MAX(D4:I4)</f>
        <v>50</v>
      </c>
      <c r="N4" s="8">
        <f>J4/$J$19</f>
        <v>0.0814</v>
      </c>
    </row>
    <row r="5" ht="20" customHeight="1">
      <c r="A5" s="3" t="inlineStr">
        <is>
          <t>OBWÓD 6</t>
        </is>
      </c>
      <c r="B5" s="4" t="inlineStr">
        <is>
          <t>SZKOŁA PODSTAWOWA NR 6</t>
        </is>
      </c>
      <c r="C5" s="3" t="inlineStr">
        <is>
          <t>Miejskie</t>
        </is>
      </c>
      <c r="D5" s="5">
        <v>16</v>
      </c>
      <c r="E5" s="5">
        <v>9</v>
      </c>
      <c r="F5" s="5">
        <v>8</v>
      </c>
      <c r="G5" s="5">
        <v>11</v>
      </c>
      <c r="H5" s="5">
        <v>11</v>
      </c>
      <c r="I5" s="5">
        <v>9</v>
      </c>
      <c r="J5" s="6">
        <f>SUM(D5:I5)</f>
        <v>64</v>
      </c>
      <c r="K5" s="7">
        <f>AVERAGE(D5:I5)</f>
        <v>10.7</v>
      </c>
      <c r="L5" s="5">
        <f>MIN(D5:I5)</f>
        <v>8</v>
      </c>
      <c r="M5" s="5">
        <f>MAX(D5:I5)</f>
        <v>16</v>
      </c>
      <c r="N5" s="8">
        <f>J5/$J$19</f>
        <v>0.0212</v>
      </c>
    </row>
    <row r="6" ht="20" customHeight="1">
      <c r="A6" s="3" t="inlineStr">
        <is>
          <t>OBWÓD 7</t>
        </is>
      </c>
      <c r="B6" s="4" t="inlineStr">
        <is>
          <t>SZKOŁA PODSTAWOWA NR 7</t>
        </is>
      </c>
      <c r="C6" s="3" t="inlineStr">
        <is>
          <t>Miejskie</t>
        </is>
      </c>
      <c r="D6" s="5">
        <v>37</v>
      </c>
      <c r="E6" s="5">
        <v>21</v>
      </c>
      <c r="F6" s="5">
        <v>27</v>
      </c>
      <c r="G6" s="5">
        <v>17</v>
      </c>
      <c r="H6" s="5">
        <v>23</v>
      </c>
      <c r="I6" s="5">
        <v>22</v>
      </c>
      <c r="J6" s="6">
        <f>SUM(D6:I6)</f>
        <v>147</v>
      </c>
      <c r="K6" s="7">
        <f>AVERAGE(D6:I6)</f>
        <v>24.5</v>
      </c>
      <c r="L6" s="5">
        <f>MIN(D6:I6)</f>
        <v>17</v>
      </c>
      <c r="M6" s="5">
        <f>MAX(D6:I6)</f>
        <v>37</v>
      </c>
      <c r="N6" s="8">
        <f>J6/$J$19</f>
        <v>0.0486</v>
      </c>
    </row>
    <row r="7" ht="20" customHeight="1">
      <c r="A7" s="3" t="inlineStr">
        <is>
          <t>OBWÓD 8</t>
        </is>
      </c>
      <c r="B7" s="4" t="inlineStr">
        <is>
          <t>SZKOŁA PODSTAWOWA NR 8</t>
        </is>
      </c>
      <c r="C7" s="3" t="inlineStr">
        <is>
          <t>Miejskie</t>
        </is>
      </c>
      <c r="D7" s="5">
        <v>49</v>
      </c>
      <c r="E7" s="5">
        <v>35</v>
      </c>
      <c r="F7" s="5">
        <v>38</v>
      </c>
      <c r="G7" s="5">
        <v>31</v>
      </c>
      <c r="H7" s="5">
        <v>27</v>
      </c>
      <c r="I7" s="5">
        <v>26</v>
      </c>
      <c r="J7" s="6">
        <f>SUM(D7:I7)</f>
        <v>206</v>
      </c>
      <c r="K7" s="7">
        <f>AVERAGE(D7:I7)</f>
        <v>34.3</v>
      </c>
      <c r="L7" s="5">
        <f>MIN(D7:I7)</f>
        <v>26</v>
      </c>
      <c r="M7" s="5">
        <f>MAX(D7:I7)</f>
        <v>49</v>
      </c>
      <c r="N7" s="8">
        <f>J7/$J$19</f>
        <v>0.0682</v>
      </c>
    </row>
    <row r="8" ht="20" customHeight="1">
      <c r="A8" s="3" t="inlineStr">
        <is>
          <t>OBWÓD 9</t>
        </is>
      </c>
      <c r="B8" s="4" t="inlineStr">
        <is>
          <t>SZKOŁA PODSTAWOWA NR 9</t>
        </is>
      </c>
      <c r="C8" s="3" t="inlineStr">
        <is>
          <t>Miejskie</t>
        </is>
      </c>
      <c r="D8" s="5">
        <v>74</v>
      </c>
      <c r="E8" s="5">
        <v>45</v>
      </c>
      <c r="F8" s="5">
        <v>48</v>
      </c>
      <c r="G8" s="5">
        <v>51</v>
      </c>
      <c r="H8" s="5">
        <v>27</v>
      </c>
      <c r="I8" s="5">
        <v>26</v>
      </c>
      <c r="J8" s="6">
        <f>SUM(D8:I8)</f>
        <v>271</v>
      </c>
      <c r="K8" s="7">
        <f>AVERAGE(D8:I8)</f>
        <v>45.2</v>
      </c>
      <c r="L8" s="5">
        <f>MIN(D8:I8)</f>
        <v>26</v>
      </c>
      <c r="M8" s="5">
        <f>MAX(D8:I8)</f>
        <v>74</v>
      </c>
      <c r="N8" s="8">
        <f>J8/$J$19</f>
        <v>0.0897</v>
      </c>
    </row>
    <row r="9" ht="20" customHeight="1">
      <c r="A9" s="3" t="inlineStr">
        <is>
          <t>OBWÓD 11</t>
        </is>
      </c>
      <c r="B9" s="4" t="inlineStr">
        <is>
          <t>SZKOŁA PODSTAWOWA NR 11</t>
        </is>
      </c>
      <c r="C9" s="3" t="inlineStr">
        <is>
          <t>Miejskie</t>
        </is>
      </c>
      <c r="D9" s="5">
        <v>17</v>
      </c>
      <c r="E9" s="5">
        <v>14</v>
      </c>
      <c r="F9" s="5">
        <v>13</v>
      </c>
      <c r="G9" s="5">
        <v>9</v>
      </c>
      <c r="H9" s="5">
        <v>12</v>
      </c>
      <c r="I9" s="5">
        <v>8</v>
      </c>
      <c r="J9" s="6">
        <f>SUM(D9:I9)</f>
        <v>73</v>
      </c>
      <c r="K9" s="7">
        <f>AVERAGE(D9:I9)</f>
        <v>12.2</v>
      </c>
      <c r="L9" s="5">
        <f>MIN(D9:I9)</f>
        <v>8</v>
      </c>
      <c r="M9" s="5">
        <f>MAX(D9:I9)</f>
        <v>17</v>
      </c>
      <c r="N9" s="8">
        <f>J9/$J$19</f>
        <v>0.0242</v>
      </c>
    </row>
    <row r="10" ht="20" customHeight="1">
      <c r="A10" s="3" t="inlineStr">
        <is>
          <t>OBWÓD 14</t>
        </is>
      </c>
      <c r="B10" s="4" t="inlineStr">
        <is>
          <t>SZKOŁA PODSTAWOWA NR 14</t>
        </is>
      </c>
      <c r="C10" s="3" t="inlineStr">
        <is>
          <t>Miejskie</t>
        </is>
      </c>
      <c r="D10" s="5">
        <v>16</v>
      </c>
      <c r="E10" s="5">
        <v>8</v>
      </c>
      <c r="F10" s="5">
        <v>13</v>
      </c>
      <c r="G10" s="5">
        <v>14</v>
      </c>
      <c r="H10" s="5">
        <v>8</v>
      </c>
      <c r="I10" s="5">
        <v>6</v>
      </c>
      <c r="J10" s="6">
        <f>SUM(D10:I10)</f>
        <v>65</v>
      </c>
      <c r="K10" s="7">
        <f>AVERAGE(D10:I10)</f>
        <v>10.8</v>
      </c>
      <c r="L10" s="5">
        <f>MIN(D10:I10)</f>
        <v>6</v>
      </c>
      <c r="M10" s="5">
        <f>MAX(D10:I10)</f>
        <v>16</v>
      </c>
      <c r="N10" s="8">
        <f>J10/$J$19</f>
        <v>0.0215</v>
      </c>
    </row>
    <row r="11" ht="20" customHeight="1">
      <c r="A11" s="3" t="inlineStr">
        <is>
          <t>OBWÓD 15</t>
        </is>
      </c>
      <c r="B11" s="4" t="inlineStr">
        <is>
          <t>SZKOŁA PODSTAWOWA NR 15</t>
        </is>
      </c>
      <c r="C11" s="3" t="inlineStr">
        <is>
          <t>Miejskie</t>
        </is>
      </c>
      <c r="D11" s="5">
        <v>40</v>
      </c>
      <c r="E11" s="5">
        <v>33</v>
      </c>
      <c r="F11" s="5">
        <v>37</v>
      </c>
      <c r="G11" s="5">
        <v>37</v>
      </c>
      <c r="H11" s="5">
        <v>37</v>
      </c>
      <c r="I11" s="5">
        <v>17</v>
      </c>
      <c r="J11" s="6">
        <f>SUM(D11:I11)</f>
        <v>201</v>
      </c>
      <c r="K11" s="7">
        <f>AVERAGE(D11:I11)</f>
        <v>33.5</v>
      </c>
      <c r="L11" s="5">
        <f>MIN(D11:I11)</f>
        <v>17</v>
      </c>
      <c r="M11" s="5">
        <f>MAX(D11:I11)</f>
        <v>40</v>
      </c>
      <c r="N11" s="8">
        <f>J11/$J$19</f>
        <v>0.0665</v>
      </c>
    </row>
    <row r="12" ht="20" customHeight="1">
      <c r="A12" s="3" t="inlineStr">
        <is>
          <t>OBWÓD 16</t>
        </is>
      </c>
      <c r="B12" s="4" t="inlineStr">
        <is>
          <t>SZKOŁA PODSTAWOWA NR 16</t>
        </is>
      </c>
      <c r="C12" s="3" t="inlineStr">
        <is>
          <t>Miejskie</t>
        </is>
      </c>
      <c r="D12" s="5">
        <v>58</v>
      </c>
      <c r="E12" s="5">
        <v>47</v>
      </c>
      <c r="F12" s="5">
        <v>53</v>
      </c>
      <c r="G12" s="5">
        <v>34</v>
      </c>
      <c r="H12" s="5">
        <v>30</v>
      </c>
      <c r="I12" s="5">
        <v>37</v>
      </c>
      <c r="J12" s="6">
        <f>SUM(D12:I12)</f>
        <v>259</v>
      </c>
      <c r="K12" s="7">
        <f>AVERAGE(D12:I12)</f>
        <v>43.2</v>
      </c>
      <c r="L12" s="5">
        <f>MIN(D12:I12)</f>
        <v>30</v>
      </c>
      <c r="M12" s="5">
        <f>MAX(D12:I12)</f>
        <v>58</v>
      </c>
      <c r="N12" s="8">
        <f>J12/$J$19</f>
        <v>0.0857</v>
      </c>
    </row>
    <row r="13" ht="20" customHeight="1">
      <c r="A13" s="3" t="inlineStr">
        <is>
          <t>OBWÓD 17</t>
        </is>
      </c>
      <c r="B13" s="4" t="inlineStr">
        <is>
          <t>SZKOŁA PODSTAWOWA NR 17</t>
        </is>
      </c>
      <c r="C13" s="3" t="inlineStr">
        <is>
          <t>Miejskie</t>
        </is>
      </c>
      <c r="D13" s="5">
        <v>46</v>
      </c>
      <c r="E13" s="5">
        <v>25</v>
      </c>
      <c r="F13" s="5">
        <v>38</v>
      </c>
      <c r="G13" s="5">
        <v>39</v>
      </c>
      <c r="H13" s="5">
        <v>26</v>
      </c>
      <c r="I13" s="5">
        <v>27</v>
      </c>
      <c r="J13" s="6">
        <f>SUM(D13:I13)</f>
        <v>201</v>
      </c>
      <c r="K13" s="7">
        <f>AVERAGE(D13:I13)</f>
        <v>33.5</v>
      </c>
      <c r="L13" s="5">
        <f>MIN(D13:I13)</f>
        <v>25</v>
      </c>
      <c r="M13" s="5">
        <f>MAX(D13:I13)</f>
        <v>46</v>
      </c>
      <c r="N13" s="8">
        <f>J13/$J$19</f>
        <v>0.0665</v>
      </c>
    </row>
    <row r="14" ht="20" customHeight="1">
      <c r="A14" s="3" t="inlineStr">
        <is>
          <t>OBWÓD 18</t>
        </is>
      </c>
      <c r="B14" s="4" t="inlineStr">
        <is>
          <t>SZKOŁA PODSTAWOWA NR 18</t>
        </is>
      </c>
      <c r="C14" s="3" t="inlineStr">
        <is>
          <t>Miejskie</t>
        </is>
      </c>
      <c r="D14" s="5">
        <v>55</v>
      </c>
      <c r="E14" s="5">
        <v>46</v>
      </c>
      <c r="F14" s="5">
        <v>46</v>
      </c>
      <c r="G14" s="5">
        <v>31</v>
      </c>
      <c r="H14" s="5">
        <v>37</v>
      </c>
      <c r="I14" s="5">
        <v>23</v>
      </c>
      <c r="J14" s="6">
        <f>SUM(D14:I14)</f>
        <v>238</v>
      </c>
      <c r="K14" s="7">
        <f>AVERAGE(D14:I14)</f>
        <v>39.7</v>
      </c>
      <c r="L14" s="5">
        <f>MIN(D14:I14)</f>
        <v>23</v>
      </c>
      <c r="M14" s="5">
        <f>MAX(D14:I14)</f>
        <v>55</v>
      </c>
      <c r="N14" s="8">
        <f>J14/$J$19</f>
        <v>0.0788</v>
      </c>
    </row>
    <row r="15" ht="20" customHeight="1">
      <c r="A15" s="3" t="inlineStr">
        <is>
          <t>OBWÓD 20</t>
        </is>
      </c>
      <c r="B15" s="4" t="inlineStr">
        <is>
          <t>SZKOŁA PODSTAWOWA NR 20</t>
        </is>
      </c>
      <c r="C15" s="3" t="inlineStr">
        <is>
          <t>Miejskie</t>
        </is>
      </c>
      <c r="D15" s="5">
        <v>44</v>
      </c>
      <c r="E15" s="5">
        <v>29</v>
      </c>
      <c r="F15" s="5">
        <v>30</v>
      </c>
      <c r="G15" s="5">
        <v>36</v>
      </c>
      <c r="H15" s="5">
        <v>26</v>
      </c>
      <c r="I15" s="5">
        <v>23</v>
      </c>
      <c r="J15" s="6">
        <f>SUM(D15:I15)</f>
        <v>188</v>
      </c>
      <c r="K15" s="7">
        <f>AVERAGE(D15:I15)</f>
        <v>31.3</v>
      </c>
      <c r="L15" s="5">
        <f>MIN(D15:I15)</f>
        <v>23</v>
      </c>
      <c r="M15" s="5">
        <f>MAX(D15:I15)</f>
        <v>44</v>
      </c>
      <c r="N15" s="8">
        <f>J15/$J$19</f>
        <v>0.0622</v>
      </c>
    </row>
    <row r="16" ht="20" customHeight="1">
      <c r="A16" s="3" t="inlineStr">
        <is>
          <t>OBWÓD 21</t>
        </is>
      </c>
      <c r="B16" s="4" t="inlineStr">
        <is>
          <t>SZKOŁA PODSTAWOWA NR 21</t>
        </is>
      </c>
      <c r="C16" s="3" t="inlineStr">
        <is>
          <t>Miejskie</t>
        </is>
      </c>
      <c r="D16" s="5">
        <v>81</v>
      </c>
      <c r="E16" s="5">
        <v>70</v>
      </c>
      <c r="F16" s="5">
        <v>60</v>
      </c>
      <c r="G16" s="5">
        <v>55</v>
      </c>
      <c r="H16" s="5">
        <v>44</v>
      </c>
      <c r="I16" s="5">
        <v>32</v>
      </c>
      <c r="J16" s="6">
        <f>SUM(D16:I16)</f>
        <v>342</v>
      </c>
      <c r="K16" s="7">
        <f>AVERAGE(D16:I16)</f>
        <v>57</v>
      </c>
      <c r="L16" s="5">
        <f>MIN(D16:I16)</f>
        <v>32</v>
      </c>
      <c r="M16" s="5">
        <f>MAX(D16:I16)</f>
        <v>81</v>
      </c>
      <c r="N16" s="8">
        <f>J16/$J$19</f>
        <v>0.1132</v>
      </c>
    </row>
    <row r="17" ht="20" customHeight="1">
      <c r="A17" s="3" t="inlineStr">
        <is>
          <t>OBWÓD 22</t>
        </is>
      </c>
      <c r="B17" s="4" t="inlineStr">
        <is>
          <t>SZKOŁA PODSTAWOWA W CHEŁMCU</t>
        </is>
      </c>
      <c r="C17" s="3" t="inlineStr">
        <is>
          <t>Podmiejskie</t>
        </is>
      </c>
      <c r="D17" s="5">
        <v>33</v>
      </c>
      <c r="E17" s="5">
        <v>18</v>
      </c>
      <c r="F17" s="5">
        <v>14</v>
      </c>
      <c r="G17" s="5">
        <v>18</v>
      </c>
      <c r="H17" s="5">
        <v>15</v>
      </c>
      <c r="I17" s="5">
        <v>14</v>
      </c>
      <c r="J17" s="6">
        <f>SUM(D17:I17)</f>
        <v>112</v>
      </c>
      <c r="K17" s="7">
        <f>AVERAGE(D17:I17)</f>
        <v>18.7</v>
      </c>
      <c r="L17" s="5">
        <f>MIN(D17:I17)</f>
        <v>14</v>
      </c>
      <c r="M17" s="5">
        <f>MAX(D17:I17)</f>
        <v>33</v>
      </c>
      <c r="N17" s="8">
        <f>J17/$J$19</f>
        <v>0.0371</v>
      </c>
    </row>
    <row r="18" ht="20" customHeight="1">
      <c r="A18" s="3" t="inlineStr">
        <is>
          <t>OBWÓD 23</t>
        </is>
      </c>
      <c r="B18" s="4" t="inlineStr">
        <is>
          <t>SZKOŁA PODSTAWOWA W PIĄTKOWEJ</t>
        </is>
      </c>
      <c r="C18" s="3" t="inlineStr">
        <is>
          <t>Podmiejskie</t>
        </is>
      </c>
      <c r="D18" s="5">
        <v>13</v>
      </c>
      <c r="E18" s="5">
        <v>21</v>
      </c>
      <c r="F18" s="5">
        <v>18</v>
      </c>
      <c r="G18" s="5">
        <v>17</v>
      </c>
      <c r="H18" s="5">
        <v>14</v>
      </c>
      <c r="I18" s="5">
        <v>16</v>
      </c>
      <c r="J18" s="6">
        <f>SUM(D18:I18)</f>
        <v>99</v>
      </c>
      <c r="K18" s="7">
        <f>AVERAGE(D18:I18)</f>
        <v>16.5</v>
      </c>
      <c r="L18" s="5">
        <f>MIN(D18:I18)</f>
        <v>13</v>
      </c>
      <c r="M18" s="5">
        <f>MAX(D18:I18)</f>
        <v>21</v>
      </c>
      <c r="N18" s="8">
        <f>J18/$J$19</f>
        <v>0.0328</v>
      </c>
    </row>
    <row r="19" ht="24" customHeight="1">
      <c r="A19" s="9" t="inlineStr">
        <is>
          <t>SUMA</t>
        </is>
      </c>
      <c r="B19" s="9" t="inlineStr">
        <is>
          <t>WSZYSTKIE OBWODY SZKOLNE (17 SZKÓŁ)</t>
        </is>
      </c>
      <c r="C19" s="9" t="inlineStr">
        <is>
          <t>Ogółem</t>
        </is>
      </c>
      <c r="D19" s="10">
        <f>SUM(D2:D18)</f>
        <v>697</v>
      </c>
      <c r="E19" s="10">
        <f>SUM(E2:E18)</f>
        <v>541</v>
      </c>
      <c r="F19" s="10">
        <f>SUM(F2:F18)</f>
        <v>542</v>
      </c>
      <c r="G19" s="10">
        <f>SUM(G2:G18)</f>
        <v>471</v>
      </c>
      <c r="H19" s="10">
        <f>SUM(H2:H18)</f>
        <v>416</v>
      </c>
      <c r="I19" s="10">
        <f>SUM(I2:I18)</f>
        <v>355</v>
      </c>
      <c r="J19" s="10">
        <f>SUM(J2:J18)</f>
        <v>3022</v>
      </c>
      <c r="K19" s="11">
        <f>AVERAGE(D19:I19)</f>
        <v>503.7</v>
      </c>
      <c r="L19" s="10">
        <f>MIN(D19:I19)</f>
        <v>355</v>
      </c>
      <c r="M19" s="10">
        <f>MAX(D19:I19)</f>
        <v>697</v>
      </c>
      <c r="N19" s="12">
        <f>SUM(N2:N18)</f>
        <v>1</v>
      </c>
    </row>
  </sheetData>
  <autoFilter ref="A1:N18"/>
  <conditionalFormatting sqref="D2:I18">
    <cfRule type="colorScale" priority="1">
      <colorScale>
        <cfvo type="min"/>
        <cfvo type="percentile" val="50"/>
        <cfvo type="max"/>
        <color rgb="FFF8FAFC"/>
        <color rgb="FF93C5FD"/>
        <color rgb="FF1D4ED8"/>
      </colorScale>
    </cfRule>
  </conditionalFormatting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xSplit="1" ySplit="1" topLeftCell="B2" activePane="bottomRight" state="frozen"/>
      <selection pane="bottomRight" activeCell="B2" sqref="B2"/>
    </sheetView>
  </sheetViews>
  <sheetFormatPr defaultRowHeight="18"/>
  <cols>
    <col min="1" max="1" width="12" customWidth="1"/>
    <col min="2" max="18" width="18" customWidth="1"/>
    <col min="19" max="22" width="16" customWidth="1"/>
  </cols>
  <sheetData>
    <row r="1" ht="30" customHeight="1">
      <c r="A1" s="1" t="inlineStr">
        <is>
          <t>ROCZNIK</t>
        </is>
      </c>
      <c r="B1" s="1" t="inlineStr">
        <is>
          <t>SP nr 1 (OBWÓD 1)</t>
        </is>
      </c>
      <c r="C1" s="1" t="inlineStr">
        <is>
          <t>SP nr 2 (OBWÓD 2)</t>
        </is>
      </c>
      <c r="D1" s="1" t="inlineStr">
        <is>
          <t>SP nr 3 (OBWÓD 3)</t>
        </is>
      </c>
      <c r="E1" s="1" t="inlineStr">
        <is>
          <t>SP nr 6 (OBWÓD 6)</t>
        </is>
      </c>
      <c r="F1" s="1" t="inlineStr">
        <is>
          <t>SP nr 7 (OBWÓD 7)</t>
        </is>
      </c>
      <c r="G1" s="1" t="inlineStr">
        <is>
          <t>SP nr 8 (OBWÓD 8)</t>
        </is>
      </c>
      <c r="H1" s="1" t="inlineStr">
        <is>
          <t>SP nr 9 (OBWÓD 9)</t>
        </is>
      </c>
      <c r="I1" s="1" t="inlineStr">
        <is>
          <t>SP nr 11 (OBWÓD 11)</t>
        </is>
      </c>
      <c r="J1" s="1" t="inlineStr">
        <is>
          <t>SP nr 14 (OBWÓD 14)</t>
        </is>
      </c>
      <c r="K1" s="1" t="inlineStr">
        <is>
          <t>SP nr 15 (OBWÓD 15)</t>
        </is>
      </c>
      <c r="L1" s="1" t="inlineStr">
        <is>
          <t>SP nr 16 (OBWÓD 16)</t>
        </is>
      </c>
      <c r="M1" s="1" t="inlineStr">
        <is>
          <t>SP nr 17 (OBWÓD 17)</t>
        </is>
      </c>
      <c r="N1" s="1" t="inlineStr">
        <is>
          <t>SP nr 18 (OBWÓD 18)</t>
        </is>
      </c>
      <c r="O1" s="1" t="inlineStr">
        <is>
          <t>SP nr 20 (OBWÓD 20)</t>
        </is>
      </c>
      <c r="P1" s="1" t="inlineStr">
        <is>
          <t>SP nr 21 (OBWÓD 21)</t>
        </is>
      </c>
      <c r="Q1" s="1" t="inlineStr">
        <is>
          <t>SP w Chełmcu (OBWÓD 22)</t>
        </is>
      </c>
      <c r="R1" s="1" t="inlineStr">
        <is>
          <t>SP w Piątkowej (OBWÓD 23)</t>
        </is>
      </c>
      <c r="S1" s="2" t="inlineStr">
        <is>
          <t>SUMA ROCZNIKA</t>
        </is>
      </c>
      <c r="T1" s="2" t="inlineStr">
        <is>
          <t>ŚREDNIA NA SZKOŁĘ</t>
        </is>
      </c>
      <c r="U1" s="2" t="inlineStr">
        <is>
          <t>MIN</t>
        </is>
      </c>
      <c r="V1" s="2" t="inlineStr">
        <is>
          <t>MAX</t>
        </is>
      </c>
    </row>
    <row r="2" ht="20" customHeight="1">
      <c r="A2" s="3">
        <v>2021</v>
      </c>
      <c r="B2" s="5">
        <v>38</v>
      </c>
      <c r="C2" s="5">
        <v>32</v>
      </c>
      <c r="D2" s="5">
        <v>48</v>
      </c>
      <c r="E2" s="5">
        <v>16</v>
      </c>
      <c r="F2" s="5">
        <v>37</v>
      </c>
      <c r="G2" s="5">
        <v>49</v>
      </c>
      <c r="H2" s="5">
        <v>74</v>
      </c>
      <c r="I2" s="5">
        <v>17</v>
      </c>
      <c r="J2" s="5">
        <v>16</v>
      </c>
      <c r="K2" s="5">
        <v>40</v>
      </c>
      <c r="L2" s="5">
        <v>58</v>
      </c>
      <c r="M2" s="5">
        <v>46</v>
      </c>
      <c r="N2" s="5">
        <v>55</v>
      </c>
      <c r="O2" s="5">
        <v>44</v>
      </c>
      <c r="P2" s="5">
        <v>81</v>
      </c>
      <c r="Q2" s="5">
        <v>33</v>
      </c>
      <c r="R2" s="5">
        <v>13</v>
      </c>
      <c r="S2" s="6">
        <f>SUM(B2:R2)</f>
        <v>697</v>
      </c>
      <c r="T2" s="7">
        <f>AVERAGE(B2:R2)</f>
        <v>41</v>
      </c>
      <c r="U2" s="5">
        <f>MIN(B2:R2)</f>
        <v>13</v>
      </c>
      <c r="V2" s="5">
        <f>MAX(B2:R2)</f>
        <v>81</v>
      </c>
    </row>
    <row r="3" ht="20" customHeight="1">
      <c r="A3" s="3">
        <v>2022</v>
      </c>
      <c r="B3" s="5">
        <v>39</v>
      </c>
      <c r="C3" s="5">
        <v>34</v>
      </c>
      <c r="D3" s="5">
        <v>47</v>
      </c>
      <c r="E3" s="5">
        <v>9</v>
      </c>
      <c r="F3" s="5">
        <v>21</v>
      </c>
      <c r="G3" s="5">
        <v>35</v>
      </c>
      <c r="H3" s="5">
        <v>45</v>
      </c>
      <c r="I3" s="5">
        <v>14</v>
      </c>
      <c r="J3" s="5">
        <v>8</v>
      </c>
      <c r="K3" s="5">
        <v>33</v>
      </c>
      <c r="L3" s="5">
        <v>47</v>
      </c>
      <c r="M3" s="5">
        <v>25</v>
      </c>
      <c r="N3" s="5">
        <v>46</v>
      </c>
      <c r="O3" s="5">
        <v>29</v>
      </c>
      <c r="P3" s="5">
        <v>70</v>
      </c>
      <c r="Q3" s="5">
        <v>18</v>
      </c>
      <c r="R3" s="5">
        <v>21</v>
      </c>
      <c r="S3" s="6">
        <f>SUM(B3:R3)</f>
        <v>541</v>
      </c>
      <c r="T3" s="7">
        <f>AVERAGE(B3:R3)</f>
        <v>31.8</v>
      </c>
      <c r="U3" s="5">
        <f>MIN(B3:R3)</f>
        <v>8</v>
      </c>
      <c r="V3" s="5">
        <f>MAX(B3:R3)</f>
        <v>70</v>
      </c>
    </row>
    <row r="4" ht="20" customHeight="1">
      <c r="A4" s="3">
        <v>2023</v>
      </c>
      <c r="B4" s="5">
        <v>23</v>
      </c>
      <c r="C4" s="5">
        <v>26</v>
      </c>
      <c r="D4" s="5">
        <v>50</v>
      </c>
      <c r="E4" s="5">
        <v>8</v>
      </c>
      <c r="F4" s="5">
        <v>27</v>
      </c>
      <c r="G4" s="5">
        <v>38</v>
      </c>
      <c r="H4" s="5">
        <v>48</v>
      </c>
      <c r="I4" s="5">
        <v>13</v>
      </c>
      <c r="J4" s="5">
        <v>13</v>
      </c>
      <c r="K4" s="5">
        <v>37</v>
      </c>
      <c r="L4" s="5">
        <v>53</v>
      </c>
      <c r="M4" s="5">
        <v>38</v>
      </c>
      <c r="N4" s="5">
        <v>46</v>
      </c>
      <c r="O4" s="5">
        <v>30</v>
      </c>
      <c r="P4" s="5">
        <v>60</v>
      </c>
      <c r="Q4" s="5">
        <v>14</v>
      </c>
      <c r="R4" s="5">
        <v>18</v>
      </c>
      <c r="S4" s="6">
        <f>SUM(B4:R4)</f>
        <v>542</v>
      </c>
      <c r="T4" s="7">
        <f>AVERAGE(B4:R4)</f>
        <v>31.9</v>
      </c>
      <c r="U4" s="5">
        <f>MIN(B4:R4)</f>
        <v>8</v>
      </c>
      <c r="V4" s="5">
        <f>MAX(B4:R4)</f>
        <v>60</v>
      </c>
    </row>
    <row r="5" ht="20" customHeight="1">
      <c r="A5" s="3">
        <v>2024</v>
      </c>
      <c r="B5" s="5">
        <v>19</v>
      </c>
      <c r="C5" s="5">
        <v>15</v>
      </c>
      <c r="D5" s="5">
        <v>37</v>
      </c>
      <c r="E5" s="5">
        <v>11</v>
      </c>
      <c r="F5" s="5">
        <v>17</v>
      </c>
      <c r="G5" s="5">
        <v>31</v>
      </c>
      <c r="H5" s="5">
        <v>51</v>
      </c>
      <c r="I5" s="5">
        <v>9</v>
      </c>
      <c r="J5" s="5">
        <v>14</v>
      </c>
      <c r="K5" s="5">
        <v>37</v>
      </c>
      <c r="L5" s="5">
        <v>34</v>
      </c>
      <c r="M5" s="5">
        <v>39</v>
      </c>
      <c r="N5" s="5">
        <v>31</v>
      </c>
      <c r="O5" s="5">
        <v>36</v>
      </c>
      <c r="P5" s="5">
        <v>55</v>
      </c>
      <c r="Q5" s="5">
        <v>18</v>
      </c>
      <c r="R5" s="5">
        <v>17</v>
      </c>
      <c r="S5" s="6">
        <f>SUM(B5:R5)</f>
        <v>471</v>
      </c>
      <c r="T5" s="7">
        <f>AVERAGE(B5:R5)</f>
        <v>27.7</v>
      </c>
      <c r="U5" s="5">
        <f>MIN(B5:R5)</f>
        <v>9</v>
      </c>
      <c r="V5" s="5">
        <f>MAX(B5:R5)</f>
        <v>55</v>
      </c>
    </row>
    <row r="6" ht="20" customHeight="1">
      <c r="A6" s="3">
        <v>2025</v>
      </c>
      <c r="B6" s="5">
        <v>18</v>
      </c>
      <c r="C6" s="5">
        <v>17</v>
      </c>
      <c r="D6" s="5">
        <v>44</v>
      </c>
      <c r="E6" s="5">
        <v>11</v>
      </c>
      <c r="F6" s="5">
        <v>23</v>
      </c>
      <c r="G6" s="5">
        <v>27</v>
      </c>
      <c r="H6" s="5">
        <v>27</v>
      </c>
      <c r="I6" s="5">
        <v>12</v>
      </c>
      <c r="J6" s="5">
        <v>8</v>
      </c>
      <c r="K6" s="5">
        <v>37</v>
      </c>
      <c r="L6" s="5">
        <v>30</v>
      </c>
      <c r="M6" s="5">
        <v>26</v>
      </c>
      <c r="N6" s="5">
        <v>37</v>
      </c>
      <c r="O6" s="5">
        <v>26</v>
      </c>
      <c r="P6" s="5">
        <v>44</v>
      </c>
      <c r="Q6" s="5">
        <v>15</v>
      </c>
      <c r="R6" s="5">
        <v>14</v>
      </c>
      <c r="S6" s="6">
        <f>SUM(B6:R6)</f>
        <v>416</v>
      </c>
      <c r="T6" s="7">
        <f>AVERAGE(B6:R6)</f>
        <v>24.5</v>
      </c>
      <c r="U6" s="5">
        <f>MIN(B6:R6)</f>
        <v>8</v>
      </c>
      <c r="V6" s="5">
        <f>MAX(B6:R6)</f>
        <v>44</v>
      </c>
    </row>
    <row r="7" ht="20" customHeight="1">
      <c r="A7" s="3">
        <v>2026</v>
      </c>
      <c r="B7" s="5">
        <v>28</v>
      </c>
      <c r="C7" s="5">
        <v>21</v>
      </c>
      <c r="D7" s="5">
        <v>20</v>
      </c>
      <c r="E7" s="5">
        <v>9</v>
      </c>
      <c r="F7" s="5">
        <v>22</v>
      </c>
      <c r="G7" s="5">
        <v>26</v>
      </c>
      <c r="H7" s="5">
        <v>26</v>
      </c>
      <c r="I7" s="5">
        <v>8</v>
      </c>
      <c r="J7" s="5">
        <v>6</v>
      </c>
      <c r="K7" s="5">
        <v>17</v>
      </c>
      <c r="L7" s="5">
        <v>37</v>
      </c>
      <c r="M7" s="5">
        <v>27</v>
      </c>
      <c r="N7" s="5">
        <v>23</v>
      </c>
      <c r="O7" s="5">
        <v>23</v>
      </c>
      <c r="P7" s="5">
        <v>32</v>
      </c>
      <c r="Q7" s="5">
        <v>14</v>
      </c>
      <c r="R7" s="5">
        <v>16</v>
      </c>
      <c r="S7" s="6">
        <f>SUM(B7:R7)</f>
        <v>355</v>
      </c>
      <c r="T7" s="7">
        <f>AVERAGE(B7:R7)</f>
        <v>20.9</v>
      </c>
      <c r="U7" s="5">
        <f>MIN(B7:R7)</f>
        <v>6</v>
      </c>
      <c r="V7" s="5">
        <f>MAX(B7:R7)</f>
        <v>37</v>
      </c>
    </row>
    <row r="8" ht="24" customHeight="1">
      <c r="A8" s="9" t="inlineStr">
        <is>
          <t>SUMA</t>
        </is>
      </c>
      <c r="B8" s="10">
        <f>SUM(B2:B7)</f>
        <v>165</v>
      </c>
      <c r="C8" s="10">
        <f>SUM(C2:C7)</f>
        <v>145</v>
      </c>
      <c r="D8" s="10">
        <f>SUM(D2:D7)</f>
        <v>246</v>
      </c>
      <c r="E8" s="10">
        <f>SUM(E2:E7)</f>
        <v>64</v>
      </c>
      <c r="F8" s="10">
        <f>SUM(F2:F7)</f>
        <v>147</v>
      </c>
      <c r="G8" s="10">
        <f>SUM(G2:G7)</f>
        <v>206</v>
      </c>
      <c r="H8" s="10">
        <f>SUM(H2:H7)</f>
        <v>271</v>
      </c>
      <c r="I8" s="10">
        <f>SUM(I2:I7)</f>
        <v>73</v>
      </c>
      <c r="J8" s="10">
        <f>SUM(J2:J7)</f>
        <v>65</v>
      </c>
      <c r="K8" s="10">
        <f>SUM(K2:K7)</f>
        <v>201</v>
      </c>
      <c r="L8" s="10">
        <f>SUM(L2:L7)</f>
        <v>259</v>
      </c>
      <c r="M8" s="10">
        <f>SUM(M2:M7)</f>
        <v>201</v>
      </c>
      <c r="N8" s="10">
        <f>SUM(N2:N7)</f>
        <v>238</v>
      </c>
      <c r="O8" s="10">
        <f>SUM(O2:O7)</f>
        <v>188</v>
      </c>
      <c r="P8" s="10">
        <f>SUM(P2:P7)</f>
        <v>342</v>
      </c>
      <c r="Q8" s="10">
        <f>SUM(Q2:Q7)</f>
        <v>112</v>
      </c>
      <c r="R8" s="10">
        <f>SUM(R2:R7)</f>
        <v>99</v>
      </c>
      <c r="S8" s="10">
        <f>SUM(S2:S7)</f>
        <v>3022</v>
      </c>
      <c r="T8" s="11">
        <f>AVERAGE(S2:S7)</f>
        <v>503.7</v>
      </c>
      <c r="U8" s="10">
        <f>MIN(S2:S7)</f>
        <v>355</v>
      </c>
      <c r="V8" s="10">
        <f>MAX(S2:S7)</f>
        <v>697</v>
      </c>
    </row>
  </sheetData>
  <autoFilter ref="A1:V7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2" width="12" customWidth="1"/>
    <col min="3" max="3" width="14" customWidth="1"/>
    <col min="4" max="4" width="36" customWidth="1"/>
    <col min="5" max="5" width="38" customWidth="1"/>
    <col min="6" max="7" width="22" customWidth="1"/>
  </cols>
  <sheetData>
    <row r="1" ht="26" customHeight="1">
      <c r="A1" s="1" t="inlineStr">
        <is>
          <t>Rocznik</t>
        </is>
      </c>
      <c r="B1" s="1" t="inlineStr">
        <is>
          <t>Nr obwodu</t>
        </is>
      </c>
      <c r="C1" s="1" t="inlineStr">
        <is>
          <t>Obwód</t>
        </is>
      </c>
      <c r="D1" s="1" t="inlineStr">
        <is>
          <t>Szkoła (siedziba)</t>
        </is>
      </c>
      <c r="E1" s="1" t="inlineStr">
        <is>
          <t>Kategoria</t>
        </is>
      </c>
      <c r="F1" s="2" t="inlineStr">
        <is>
          <t>Liczba zameldowanych</t>
        </is>
      </c>
      <c r="G1" s="2" t="inlineStr">
        <is>
          <t>Udział w roczniku %</t>
        </is>
      </c>
    </row>
    <row r="2" ht="19">
      <c r="A2" s="3">
        <v>2021</v>
      </c>
      <c r="B2" s="3">
        <v>1</v>
      </c>
      <c r="C2" s="3" t="inlineStr">
        <is>
          <t>OBWÓD 1</t>
        </is>
      </c>
      <c r="D2" s="4" t="inlineStr">
        <is>
          <t>SZKOŁA PODSTAWOWA NR 1</t>
        </is>
      </c>
      <c r="E2" s="4" t="inlineStr">
        <is>
          <t>Szkoły miejskie (SP nr 1-21)</t>
        </is>
      </c>
      <c r="F2" s="5">
        <v>38</v>
      </c>
      <c r="G2" s="8">
        <v>0.0545</v>
      </c>
    </row>
    <row r="3" ht="19">
      <c r="A3" s="3">
        <v>2021</v>
      </c>
      <c r="B3" s="3">
        <v>2</v>
      </c>
      <c r="C3" s="3" t="inlineStr">
        <is>
          <t>OBWÓD 2</t>
        </is>
      </c>
      <c r="D3" s="4" t="inlineStr">
        <is>
          <t>SZKOŁA PODSTAWOWA NR 2</t>
        </is>
      </c>
      <c r="E3" s="4" t="inlineStr">
        <is>
          <t>Szkoły miejskie (SP nr 1-21)</t>
        </is>
      </c>
      <c r="F3" s="5">
        <v>32</v>
      </c>
      <c r="G3" s="8">
        <v>0.0459</v>
      </c>
    </row>
    <row r="4" ht="19">
      <c r="A4" s="3">
        <v>2021</v>
      </c>
      <c r="B4" s="3">
        <v>3</v>
      </c>
      <c r="C4" s="3" t="inlineStr">
        <is>
          <t>OBWÓD 3</t>
        </is>
      </c>
      <c r="D4" s="4" t="inlineStr">
        <is>
          <t>SZKOŁA PODSTAWOWA NR 3</t>
        </is>
      </c>
      <c r="E4" s="4" t="inlineStr">
        <is>
          <t>Szkoły miejskie (SP nr 1-21)</t>
        </is>
      </c>
      <c r="F4" s="5">
        <v>48</v>
      </c>
      <c r="G4" s="8">
        <v>0.0689</v>
      </c>
    </row>
    <row r="5" ht="19">
      <c r="A5" s="3">
        <v>2021</v>
      </c>
      <c r="B5" s="3">
        <v>6</v>
      </c>
      <c r="C5" s="3" t="inlineStr">
        <is>
          <t>OBWÓD 6</t>
        </is>
      </c>
      <c r="D5" s="4" t="inlineStr">
        <is>
          <t>SZKOŁA PODSTAWOWA NR 6</t>
        </is>
      </c>
      <c r="E5" s="4" t="inlineStr">
        <is>
          <t>Szkoły miejskie (SP nr 1-21)</t>
        </is>
      </c>
      <c r="F5" s="5">
        <v>16</v>
      </c>
      <c r="G5" s="8">
        <v>0.023</v>
      </c>
    </row>
    <row r="6" ht="19">
      <c r="A6" s="3">
        <v>2021</v>
      </c>
      <c r="B6" s="3">
        <v>7</v>
      </c>
      <c r="C6" s="3" t="inlineStr">
        <is>
          <t>OBWÓD 7</t>
        </is>
      </c>
      <c r="D6" s="4" t="inlineStr">
        <is>
          <t>SZKOŁA PODSTAWOWA NR 7</t>
        </is>
      </c>
      <c r="E6" s="4" t="inlineStr">
        <is>
          <t>Szkoły miejskie (SP nr 1-21)</t>
        </is>
      </c>
      <c r="F6" s="5">
        <v>37</v>
      </c>
      <c r="G6" s="8">
        <v>0.0531</v>
      </c>
    </row>
    <row r="7" ht="19">
      <c r="A7" s="3">
        <v>2021</v>
      </c>
      <c r="B7" s="3">
        <v>8</v>
      </c>
      <c r="C7" s="3" t="inlineStr">
        <is>
          <t>OBWÓD 8</t>
        </is>
      </c>
      <c r="D7" s="4" t="inlineStr">
        <is>
          <t>SZKOŁA PODSTAWOWA NR 8</t>
        </is>
      </c>
      <c r="E7" s="4" t="inlineStr">
        <is>
          <t>Szkoły miejskie (SP nr 1-21)</t>
        </is>
      </c>
      <c r="F7" s="5">
        <v>49</v>
      </c>
      <c r="G7" s="8">
        <v>0.0703</v>
      </c>
    </row>
    <row r="8" ht="19">
      <c r="A8" s="3">
        <v>2021</v>
      </c>
      <c r="B8" s="3">
        <v>9</v>
      </c>
      <c r="C8" s="3" t="inlineStr">
        <is>
          <t>OBWÓD 9</t>
        </is>
      </c>
      <c r="D8" s="4" t="inlineStr">
        <is>
          <t>SZKOŁA PODSTAWOWA NR 9</t>
        </is>
      </c>
      <c r="E8" s="4" t="inlineStr">
        <is>
          <t>Szkoły miejskie (SP nr 1-21)</t>
        </is>
      </c>
      <c r="F8" s="5">
        <v>74</v>
      </c>
      <c r="G8" s="8">
        <v>0.1062</v>
      </c>
    </row>
    <row r="9" ht="19">
      <c r="A9" s="3">
        <v>2021</v>
      </c>
      <c r="B9" s="3">
        <v>11</v>
      </c>
      <c r="C9" s="3" t="inlineStr">
        <is>
          <t>OBWÓD 11</t>
        </is>
      </c>
      <c r="D9" s="4" t="inlineStr">
        <is>
          <t>SZKOŁA PODSTAWOWA NR 11</t>
        </is>
      </c>
      <c r="E9" s="4" t="inlineStr">
        <is>
          <t>Szkoły miejskie (SP nr 1-21)</t>
        </is>
      </c>
      <c r="F9" s="5">
        <v>17</v>
      </c>
      <c r="G9" s="8">
        <v>0.0244</v>
      </c>
    </row>
    <row r="10" ht="19">
      <c r="A10" s="3">
        <v>2021</v>
      </c>
      <c r="B10" s="3">
        <v>14</v>
      </c>
      <c r="C10" s="3" t="inlineStr">
        <is>
          <t>OBWÓD 14</t>
        </is>
      </c>
      <c r="D10" s="4" t="inlineStr">
        <is>
          <t>SZKOŁA PODSTAWOWA NR 14</t>
        </is>
      </c>
      <c r="E10" s="4" t="inlineStr">
        <is>
          <t>Szkoły miejskie (SP nr 1-21)</t>
        </is>
      </c>
      <c r="F10" s="5">
        <v>16</v>
      </c>
      <c r="G10" s="8">
        <v>0.023</v>
      </c>
    </row>
    <row r="11" ht="19">
      <c r="A11" s="3">
        <v>2021</v>
      </c>
      <c r="B11" s="3">
        <v>15</v>
      </c>
      <c r="C11" s="3" t="inlineStr">
        <is>
          <t>OBWÓD 15</t>
        </is>
      </c>
      <c r="D11" s="4" t="inlineStr">
        <is>
          <t>SZKOŁA PODSTAWOWA NR 15</t>
        </is>
      </c>
      <c r="E11" s="4" t="inlineStr">
        <is>
          <t>Szkoły miejskie (SP nr 1-21)</t>
        </is>
      </c>
      <c r="F11" s="5">
        <v>40</v>
      </c>
      <c r="G11" s="8">
        <v>0.0574</v>
      </c>
    </row>
    <row r="12" ht="19">
      <c r="A12" s="3">
        <v>2021</v>
      </c>
      <c r="B12" s="3">
        <v>16</v>
      </c>
      <c r="C12" s="3" t="inlineStr">
        <is>
          <t>OBWÓD 16</t>
        </is>
      </c>
      <c r="D12" s="4" t="inlineStr">
        <is>
          <t>SZKOŁA PODSTAWOWA NR 16</t>
        </is>
      </c>
      <c r="E12" s="4" t="inlineStr">
        <is>
          <t>Szkoły miejskie (SP nr 1-21)</t>
        </is>
      </c>
      <c r="F12" s="5">
        <v>58</v>
      </c>
      <c r="G12" s="8">
        <v>0.0832</v>
      </c>
    </row>
    <row r="13" ht="19">
      <c r="A13" s="3">
        <v>2021</v>
      </c>
      <c r="B13" s="3">
        <v>17</v>
      </c>
      <c r="C13" s="3" t="inlineStr">
        <is>
          <t>OBWÓD 17</t>
        </is>
      </c>
      <c r="D13" s="4" t="inlineStr">
        <is>
          <t>SZKOŁA PODSTAWOWA NR 17</t>
        </is>
      </c>
      <c r="E13" s="4" t="inlineStr">
        <is>
          <t>Szkoły miejskie (SP nr 1-21)</t>
        </is>
      </c>
      <c r="F13" s="5">
        <v>46</v>
      </c>
      <c r="G13" s="8">
        <v>0.066</v>
      </c>
    </row>
    <row r="14" ht="19">
      <c r="A14" s="3">
        <v>2021</v>
      </c>
      <c r="B14" s="3">
        <v>18</v>
      </c>
      <c r="C14" s="3" t="inlineStr">
        <is>
          <t>OBWÓD 18</t>
        </is>
      </c>
      <c r="D14" s="4" t="inlineStr">
        <is>
          <t>SZKOŁA PODSTAWOWA NR 18</t>
        </is>
      </c>
      <c r="E14" s="4" t="inlineStr">
        <is>
          <t>Szkoły miejskie (SP nr 1-21)</t>
        </is>
      </c>
      <c r="F14" s="5">
        <v>55</v>
      </c>
      <c r="G14" s="8">
        <v>0.0789</v>
      </c>
    </row>
    <row r="15" ht="19">
      <c r="A15" s="3">
        <v>2021</v>
      </c>
      <c r="B15" s="3">
        <v>20</v>
      </c>
      <c r="C15" s="3" t="inlineStr">
        <is>
          <t>OBWÓD 20</t>
        </is>
      </c>
      <c r="D15" s="4" t="inlineStr">
        <is>
          <t>SZKOŁA PODSTAWOWA NR 20</t>
        </is>
      </c>
      <c r="E15" s="4" t="inlineStr">
        <is>
          <t>Szkoły miejskie (SP nr 1-21)</t>
        </is>
      </c>
      <c r="F15" s="5">
        <v>44</v>
      </c>
      <c r="G15" s="8">
        <v>0.0631</v>
      </c>
    </row>
    <row r="16" ht="19">
      <c r="A16" s="3">
        <v>2021</v>
      </c>
      <c r="B16" s="3">
        <v>21</v>
      </c>
      <c r="C16" s="3" t="inlineStr">
        <is>
          <t>OBWÓD 21</t>
        </is>
      </c>
      <c r="D16" s="4" t="inlineStr">
        <is>
          <t>SZKOŁA PODSTAWOWA NR 21</t>
        </is>
      </c>
      <c r="E16" s="4" t="inlineStr">
        <is>
          <t>Szkoły miejskie (SP nr 1-21)</t>
        </is>
      </c>
      <c r="F16" s="5">
        <v>81</v>
      </c>
      <c r="G16" s="8">
        <v>0.1162</v>
      </c>
    </row>
    <row r="17" ht="19">
      <c r="A17" s="3">
        <v>2021</v>
      </c>
      <c r="B17" s="3">
        <v>22</v>
      </c>
      <c r="C17" s="3" t="inlineStr">
        <is>
          <t>OBWÓD 22</t>
        </is>
      </c>
      <c r="D17" s="4" t="inlineStr">
        <is>
          <t>SZKOŁA PODSTAWOWA W CHEŁMCU</t>
        </is>
      </c>
      <c r="E17" s="4" t="inlineStr">
        <is>
          <t>Obwody podmiejskie (Chełmiec / Piątkowa)</t>
        </is>
      </c>
      <c r="F17" s="5">
        <v>33</v>
      </c>
      <c r="G17" s="8">
        <v>0.0473</v>
      </c>
    </row>
    <row r="18" ht="19">
      <c r="A18" s="3">
        <v>2021</v>
      </c>
      <c r="B18" s="3">
        <v>23</v>
      </c>
      <c r="C18" s="3" t="inlineStr">
        <is>
          <t>OBWÓD 23</t>
        </is>
      </c>
      <c r="D18" s="4" t="inlineStr">
        <is>
          <t>SZKOŁA PODSTAWOWA W PIĄTKOWEJ</t>
        </is>
      </c>
      <c r="E18" s="4" t="inlineStr">
        <is>
          <t>Obwody podmiejskie (Chełmiec / Piątkowa)</t>
        </is>
      </c>
      <c r="F18" s="5">
        <v>13</v>
      </c>
      <c r="G18" s="8">
        <v>0.0187</v>
      </c>
    </row>
    <row r="19" ht="19">
      <c r="A19" s="3">
        <v>2022</v>
      </c>
      <c r="B19" s="3">
        <v>1</v>
      </c>
      <c r="C19" s="3" t="inlineStr">
        <is>
          <t>OBWÓD 1</t>
        </is>
      </c>
      <c r="D19" s="4" t="inlineStr">
        <is>
          <t>SZKOŁA PODSTAWOWA NR 1</t>
        </is>
      </c>
      <c r="E19" s="4" t="inlineStr">
        <is>
          <t>Szkoły miejskie (SP nr 1-21)</t>
        </is>
      </c>
      <c r="F19" s="5">
        <v>39</v>
      </c>
      <c r="G19" s="8">
        <v>0.0721</v>
      </c>
    </row>
    <row r="20" ht="19">
      <c r="A20" s="3">
        <v>2022</v>
      </c>
      <c r="B20" s="3">
        <v>2</v>
      </c>
      <c r="C20" s="3" t="inlineStr">
        <is>
          <t>OBWÓD 2</t>
        </is>
      </c>
      <c r="D20" s="4" t="inlineStr">
        <is>
          <t>SZKOŁA PODSTAWOWA NR 2</t>
        </is>
      </c>
      <c r="E20" s="4" t="inlineStr">
        <is>
          <t>Szkoły miejskie (SP nr 1-21)</t>
        </is>
      </c>
      <c r="F20" s="5">
        <v>34</v>
      </c>
      <c r="G20" s="8">
        <v>0.0628</v>
      </c>
    </row>
    <row r="21" ht="19">
      <c r="A21" s="3">
        <v>2022</v>
      </c>
      <c r="B21" s="3">
        <v>3</v>
      </c>
      <c r="C21" s="3" t="inlineStr">
        <is>
          <t>OBWÓD 3</t>
        </is>
      </c>
      <c r="D21" s="4" t="inlineStr">
        <is>
          <t>SZKOŁA PODSTAWOWA NR 3</t>
        </is>
      </c>
      <c r="E21" s="4" t="inlineStr">
        <is>
          <t>Szkoły miejskie (SP nr 1-21)</t>
        </is>
      </c>
      <c r="F21" s="5">
        <v>47</v>
      </c>
      <c r="G21" s="8">
        <v>0.0869</v>
      </c>
    </row>
    <row r="22" ht="19">
      <c r="A22" s="3">
        <v>2022</v>
      </c>
      <c r="B22" s="3">
        <v>6</v>
      </c>
      <c r="C22" s="3" t="inlineStr">
        <is>
          <t>OBWÓD 6</t>
        </is>
      </c>
      <c r="D22" s="4" t="inlineStr">
        <is>
          <t>SZKOŁA PODSTAWOWA NR 6</t>
        </is>
      </c>
      <c r="E22" s="4" t="inlineStr">
        <is>
          <t>Szkoły miejskie (SP nr 1-21)</t>
        </is>
      </c>
      <c r="F22" s="5">
        <v>9</v>
      </c>
      <c r="G22" s="8">
        <v>0.0166</v>
      </c>
    </row>
    <row r="23" ht="19">
      <c r="A23" s="3">
        <v>2022</v>
      </c>
      <c r="B23" s="3">
        <v>7</v>
      </c>
      <c r="C23" s="3" t="inlineStr">
        <is>
          <t>OBWÓD 7</t>
        </is>
      </c>
      <c r="D23" s="4" t="inlineStr">
        <is>
          <t>SZKOŁA PODSTAWOWA NR 7</t>
        </is>
      </c>
      <c r="E23" s="4" t="inlineStr">
        <is>
          <t>Szkoły miejskie (SP nr 1-21)</t>
        </is>
      </c>
      <c r="F23" s="5">
        <v>21</v>
      </c>
      <c r="G23" s="8">
        <v>0.0388</v>
      </c>
    </row>
    <row r="24" ht="19">
      <c r="A24" s="3">
        <v>2022</v>
      </c>
      <c r="B24" s="3">
        <v>8</v>
      </c>
      <c r="C24" s="3" t="inlineStr">
        <is>
          <t>OBWÓD 8</t>
        </is>
      </c>
      <c r="D24" s="4" t="inlineStr">
        <is>
          <t>SZKOŁA PODSTAWOWA NR 8</t>
        </is>
      </c>
      <c r="E24" s="4" t="inlineStr">
        <is>
          <t>Szkoły miejskie (SP nr 1-21)</t>
        </is>
      </c>
      <c r="F24" s="5">
        <v>35</v>
      </c>
      <c r="G24" s="8">
        <v>0.0647</v>
      </c>
    </row>
    <row r="25" ht="19">
      <c r="A25" s="3">
        <v>2022</v>
      </c>
      <c r="B25" s="3">
        <v>9</v>
      </c>
      <c r="C25" s="3" t="inlineStr">
        <is>
          <t>OBWÓD 9</t>
        </is>
      </c>
      <c r="D25" s="4" t="inlineStr">
        <is>
          <t>SZKOŁA PODSTAWOWA NR 9</t>
        </is>
      </c>
      <c r="E25" s="4" t="inlineStr">
        <is>
          <t>Szkoły miejskie (SP nr 1-21)</t>
        </is>
      </c>
      <c r="F25" s="5">
        <v>45</v>
      </c>
      <c r="G25" s="8">
        <v>0.0832</v>
      </c>
    </row>
    <row r="26" ht="19">
      <c r="A26" s="3">
        <v>2022</v>
      </c>
      <c r="B26" s="3">
        <v>11</v>
      </c>
      <c r="C26" s="3" t="inlineStr">
        <is>
          <t>OBWÓD 11</t>
        </is>
      </c>
      <c r="D26" s="4" t="inlineStr">
        <is>
          <t>SZKOŁA PODSTAWOWA NR 11</t>
        </is>
      </c>
      <c r="E26" s="4" t="inlineStr">
        <is>
          <t>Szkoły miejskie (SP nr 1-21)</t>
        </is>
      </c>
      <c r="F26" s="5">
        <v>14</v>
      </c>
      <c r="G26" s="8">
        <v>0.0259</v>
      </c>
    </row>
    <row r="27" ht="19">
      <c r="A27" s="3">
        <v>2022</v>
      </c>
      <c r="B27" s="3">
        <v>14</v>
      </c>
      <c r="C27" s="3" t="inlineStr">
        <is>
          <t>OBWÓD 14</t>
        </is>
      </c>
      <c r="D27" s="4" t="inlineStr">
        <is>
          <t>SZKOŁA PODSTAWOWA NR 14</t>
        </is>
      </c>
      <c r="E27" s="4" t="inlineStr">
        <is>
          <t>Szkoły miejskie (SP nr 1-21)</t>
        </is>
      </c>
      <c r="F27" s="5">
        <v>8</v>
      </c>
      <c r="G27" s="8">
        <v>0.0148</v>
      </c>
    </row>
    <row r="28" ht="19">
      <c r="A28" s="3">
        <v>2022</v>
      </c>
      <c r="B28" s="3">
        <v>15</v>
      </c>
      <c r="C28" s="3" t="inlineStr">
        <is>
          <t>OBWÓD 15</t>
        </is>
      </c>
      <c r="D28" s="4" t="inlineStr">
        <is>
          <t>SZKOŁA PODSTAWOWA NR 15</t>
        </is>
      </c>
      <c r="E28" s="4" t="inlineStr">
        <is>
          <t>Szkoły miejskie (SP nr 1-21)</t>
        </is>
      </c>
      <c r="F28" s="5">
        <v>33</v>
      </c>
      <c r="G28" s="8">
        <v>0.061</v>
      </c>
    </row>
    <row r="29" ht="19">
      <c r="A29" s="3">
        <v>2022</v>
      </c>
      <c r="B29" s="3">
        <v>16</v>
      </c>
      <c r="C29" s="3" t="inlineStr">
        <is>
          <t>OBWÓD 16</t>
        </is>
      </c>
      <c r="D29" s="4" t="inlineStr">
        <is>
          <t>SZKOŁA PODSTAWOWA NR 16</t>
        </is>
      </c>
      <c r="E29" s="4" t="inlineStr">
        <is>
          <t>Szkoły miejskie (SP nr 1-21)</t>
        </is>
      </c>
      <c r="F29" s="5">
        <v>47</v>
      </c>
      <c r="G29" s="8">
        <v>0.0869</v>
      </c>
    </row>
    <row r="30" ht="19">
      <c r="A30" s="3">
        <v>2022</v>
      </c>
      <c r="B30" s="3">
        <v>17</v>
      </c>
      <c r="C30" s="3" t="inlineStr">
        <is>
          <t>OBWÓD 17</t>
        </is>
      </c>
      <c r="D30" s="4" t="inlineStr">
        <is>
          <t>SZKOŁA PODSTAWOWA NR 17</t>
        </is>
      </c>
      <c r="E30" s="4" t="inlineStr">
        <is>
          <t>Szkoły miejskie (SP nr 1-21)</t>
        </is>
      </c>
      <c r="F30" s="5">
        <v>25</v>
      </c>
      <c r="G30" s="8">
        <v>0.0462</v>
      </c>
    </row>
    <row r="31" ht="19">
      <c r="A31" s="3">
        <v>2022</v>
      </c>
      <c r="B31" s="3">
        <v>18</v>
      </c>
      <c r="C31" s="3" t="inlineStr">
        <is>
          <t>OBWÓD 18</t>
        </is>
      </c>
      <c r="D31" s="4" t="inlineStr">
        <is>
          <t>SZKOŁA PODSTAWOWA NR 18</t>
        </is>
      </c>
      <c r="E31" s="4" t="inlineStr">
        <is>
          <t>Szkoły miejskie (SP nr 1-21)</t>
        </is>
      </c>
      <c r="F31" s="5">
        <v>46</v>
      </c>
      <c r="G31" s="8">
        <v>0.085</v>
      </c>
    </row>
    <row r="32" ht="19">
      <c r="A32" s="3">
        <v>2022</v>
      </c>
      <c r="B32" s="3">
        <v>20</v>
      </c>
      <c r="C32" s="3" t="inlineStr">
        <is>
          <t>OBWÓD 20</t>
        </is>
      </c>
      <c r="D32" s="4" t="inlineStr">
        <is>
          <t>SZKOŁA PODSTAWOWA NR 20</t>
        </is>
      </c>
      <c r="E32" s="4" t="inlineStr">
        <is>
          <t>Szkoły miejskie (SP nr 1-21)</t>
        </is>
      </c>
      <c r="F32" s="5">
        <v>29</v>
      </c>
      <c r="G32" s="8">
        <v>0.0536</v>
      </c>
    </row>
    <row r="33" ht="19">
      <c r="A33" s="3">
        <v>2022</v>
      </c>
      <c r="B33" s="3">
        <v>21</v>
      </c>
      <c r="C33" s="3" t="inlineStr">
        <is>
          <t>OBWÓD 21</t>
        </is>
      </c>
      <c r="D33" s="4" t="inlineStr">
        <is>
          <t>SZKOŁA PODSTAWOWA NR 21</t>
        </is>
      </c>
      <c r="E33" s="4" t="inlineStr">
        <is>
          <t>Szkoły miejskie (SP nr 1-21)</t>
        </is>
      </c>
      <c r="F33" s="5">
        <v>70</v>
      </c>
      <c r="G33" s="8">
        <v>0.1294</v>
      </c>
    </row>
    <row r="34" ht="19">
      <c r="A34" s="3">
        <v>2022</v>
      </c>
      <c r="B34" s="3">
        <v>22</v>
      </c>
      <c r="C34" s="3" t="inlineStr">
        <is>
          <t>OBWÓD 22</t>
        </is>
      </c>
      <c r="D34" s="4" t="inlineStr">
        <is>
          <t>SZKOŁA PODSTAWOWA W CHEŁMCU</t>
        </is>
      </c>
      <c r="E34" s="4" t="inlineStr">
        <is>
          <t>Obwody podmiejskie (Chełmiec / Piątkowa)</t>
        </is>
      </c>
      <c r="F34" s="5">
        <v>18</v>
      </c>
      <c r="G34" s="8">
        <v>0.0333</v>
      </c>
    </row>
    <row r="35" ht="19">
      <c r="A35" s="3">
        <v>2022</v>
      </c>
      <c r="B35" s="3">
        <v>23</v>
      </c>
      <c r="C35" s="3" t="inlineStr">
        <is>
          <t>OBWÓD 23</t>
        </is>
      </c>
      <c r="D35" s="4" t="inlineStr">
        <is>
          <t>SZKOŁA PODSTAWOWA W PIĄTKOWEJ</t>
        </is>
      </c>
      <c r="E35" s="4" t="inlineStr">
        <is>
          <t>Obwody podmiejskie (Chełmiec / Piątkowa)</t>
        </is>
      </c>
      <c r="F35" s="5">
        <v>21</v>
      </c>
      <c r="G35" s="8">
        <v>0.0388</v>
      </c>
    </row>
    <row r="36" ht="19">
      <c r="A36" s="3">
        <v>2023</v>
      </c>
      <c r="B36" s="3">
        <v>1</v>
      </c>
      <c r="C36" s="3" t="inlineStr">
        <is>
          <t>OBWÓD 1</t>
        </is>
      </c>
      <c r="D36" s="4" t="inlineStr">
        <is>
          <t>SZKOŁA PODSTAWOWA NR 1</t>
        </is>
      </c>
      <c r="E36" s="4" t="inlineStr">
        <is>
          <t>Szkoły miejskie (SP nr 1-21)</t>
        </is>
      </c>
      <c r="F36" s="5">
        <v>23</v>
      </c>
      <c r="G36" s="8">
        <v>0.0424</v>
      </c>
    </row>
    <row r="37" ht="19">
      <c r="A37" s="3">
        <v>2023</v>
      </c>
      <c r="B37" s="3">
        <v>2</v>
      </c>
      <c r="C37" s="3" t="inlineStr">
        <is>
          <t>OBWÓD 2</t>
        </is>
      </c>
      <c r="D37" s="4" t="inlineStr">
        <is>
          <t>SZKOŁA PODSTAWOWA NR 2</t>
        </is>
      </c>
      <c r="E37" s="4" t="inlineStr">
        <is>
          <t>Szkoły miejskie (SP nr 1-21)</t>
        </is>
      </c>
      <c r="F37" s="5">
        <v>26</v>
      </c>
      <c r="G37" s="8">
        <v>0.048</v>
      </c>
    </row>
    <row r="38" ht="19">
      <c r="A38" s="3">
        <v>2023</v>
      </c>
      <c r="B38" s="3">
        <v>3</v>
      </c>
      <c r="C38" s="3" t="inlineStr">
        <is>
          <t>OBWÓD 3</t>
        </is>
      </c>
      <c r="D38" s="4" t="inlineStr">
        <is>
          <t>SZKOŁA PODSTAWOWA NR 3</t>
        </is>
      </c>
      <c r="E38" s="4" t="inlineStr">
        <is>
          <t>Szkoły miejskie (SP nr 1-21)</t>
        </is>
      </c>
      <c r="F38" s="5">
        <v>50</v>
      </c>
      <c r="G38" s="8">
        <v>0.0923</v>
      </c>
    </row>
    <row r="39" ht="19">
      <c r="A39" s="3">
        <v>2023</v>
      </c>
      <c r="B39" s="3">
        <v>6</v>
      </c>
      <c r="C39" s="3" t="inlineStr">
        <is>
          <t>OBWÓD 6</t>
        </is>
      </c>
      <c r="D39" s="4" t="inlineStr">
        <is>
          <t>SZKOŁA PODSTAWOWA NR 6</t>
        </is>
      </c>
      <c r="E39" s="4" t="inlineStr">
        <is>
          <t>Szkoły miejskie (SP nr 1-21)</t>
        </is>
      </c>
      <c r="F39" s="5">
        <v>8</v>
      </c>
      <c r="G39" s="8">
        <v>0.0148</v>
      </c>
    </row>
    <row r="40" ht="19">
      <c r="A40" s="3">
        <v>2023</v>
      </c>
      <c r="B40" s="3">
        <v>7</v>
      </c>
      <c r="C40" s="3" t="inlineStr">
        <is>
          <t>OBWÓD 7</t>
        </is>
      </c>
      <c r="D40" s="4" t="inlineStr">
        <is>
          <t>SZKOŁA PODSTAWOWA NR 7</t>
        </is>
      </c>
      <c r="E40" s="4" t="inlineStr">
        <is>
          <t>Szkoły miejskie (SP nr 1-21)</t>
        </is>
      </c>
      <c r="F40" s="5">
        <v>27</v>
      </c>
      <c r="G40" s="8">
        <v>0.0498</v>
      </c>
    </row>
    <row r="41" ht="19">
      <c r="A41" s="3">
        <v>2023</v>
      </c>
      <c r="B41" s="3">
        <v>8</v>
      </c>
      <c r="C41" s="3" t="inlineStr">
        <is>
          <t>OBWÓD 8</t>
        </is>
      </c>
      <c r="D41" s="4" t="inlineStr">
        <is>
          <t>SZKOŁA PODSTAWOWA NR 8</t>
        </is>
      </c>
      <c r="E41" s="4" t="inlineStr">
        <is>
          <t>Szkoły miejskie (SP nr 1-21)</t>
        </is>
      </c>
      <c r="F41" s="5">
        <v>38</v>
      </c>
      <c r="G41" s="8">
        <v>0.0701</v>
      </c>
    </row>
    <row r="42" ht="19">
      <c r="A42" s="3">
        <v>2023</v>
      </c>
      <c r="B42" s="3">
        <v>9</v>
      </c>
      <c r="C42" s="3" t="inlineStr">
        <is>
          <t>OBWÓD 9</t>
        </is>
      </c>
      <c r="D42" s="4" t="inlineStr">
        <is>
          <t>SZKOŁA PODSTAWOWA NR 9</t>
        </is>
      </c>
      <c r="E42" s="4" t="inlineStr">
        <is>
          <t>Szkoły miejskie (SP nr 1-21)</t>
        </is>
      </c>
      <c r="F42" s="5">
        <v>48</v>
      </c>
      <c r="G42" s="8">
        <v>0.0886</v>
      </c>
    </row>
    <row r="43" ht="19">
      <c r="A43" s="3">
        <v>2023</v>
      </c>
      <c r="B43" s="3">
        <v>11</v>
      </c>
      <c r="C43" s="3" t="inlineStr">
        <is>
          <t>OBWÓD 11</t>
        </is>
      </c>
      <c r="D43" s="4" t="inlineStr">
        <is>
          <t>SZKOŁA PODSTAWOWA NR 11</t>
        </is>
      </c>
      <c r="E43" s="4" t="inlineStr">
        <is>
          <t>Szkoły miejskie (SP nr 1-21)</t>
        </is>
      </c>
      <c r="F43" s="5">
        <v>13</v>
      </c>
      <c r="G43" s="8">
        <v>0.024</v>
      </c>
    </row>
    <row r="44" ht="19">
      <c r="A44" s="3">
        <v>2023</v>
      </c>
      <c r="B44" s="3">
        <v>14</v>
      </c>
      <c r="C44" s="3" t="inlineStr">
        <is>
          <t>OBWÓD 14</t>
        </is>
      </c>
      <c r="D44" s="4" t="inlineStr">
        <is>
          <t>SZKOŁA PODSTAWOWA NR 14</t>
        </is>
      </c>
      <c r="E44" s="4" t="inlineStr">
        <is>
          <t>Szkoły miejskie (SP nr 1-21)</t>
        </is>
      </c>
      <c r="F44" s="5">
        <v>13</v>
      </c>
      <c r="G44" s="8">
        <v>0.024</v>
      </c>
    </row>
    <row r="45" ht="19">
      <c r="A45" s="3">
        <v>2023</v>
      </c>
      <c r="B45" s="3">
        <v>15</v>
      </c>
      <c r="C45" s="3" t="inlineStr">
        <is>
          <t>OBWÓD 15</t>
        </is>
      </c>
      <c r="D45" s="4" t="inlineStr">
        <is>
          <t>SZKOŁA PODSTAWOWA NR 15</t>
        </is>
      </c>
      <c r="E45" s="4" t="inlineStr">
        <is>
          <t>Szkoły miejskie (SP nr 1-21)</t>
        </is>
      </c>
      <c r="F45" s="5">
        <v>37</v>
      </c>
      <c r="G45" s="8">
        <v>0.0683</v>
      </c>
    </row>
    <row r="46" ht="19">
      <c r="A46" s="3">
        <v>2023</v>
      </c>
      <c r="B46" s="3">
        <v>16</v>
      </c>
      <c r="C46" s="3" t="inlineStr">
        <is>
          <t>OBWÓD 16</t>
        </is>
      </c>
      <c r="D46" s="4" t="inlineStr">
        <is>
          <t>SZKOŁA PODSTAWOWA NR 16</t>
        </is>
      </c>
      <c r="E46" s="4" t="inlineStr">
        <is>
          <t>Szkoły miejskie (SP nr 1-21)</t>
        </is>
      </c>
      <c r="F46" s="5">
        <v>53</v>
      </c>
      <c r="G46" s="8">
        <v>0.0978</v>
      </c>
    </row>
    <row r="47" ht="19">
      <c r="A47" s="3">
        <v>2023</v>
      </c>
      <c r="B47" s="3">
        <v>17</v>
      </c>
      <c r="C47" s="3" t="inlineStr">
        <is>
          <t>OBWÓD 17</t>
        </is>
      </c>
      <c r="D47" s="4" t="inlineStr">
        <is>
          <t>SZKOŁA PODSTAWOWA NR 17</t>
        </is>
      </c>
      <c r="E47" s="4" t="inlineStr">
        <is>
          <t>Szkoły miejskie (SP nr 1-21)</t>
        </is>
      </c>
      <c r="F47" s="5">
        <v>38</v>
      </c>
      <c r="G47" s="8">
        <v>0.0701</v>
      </c>
    </row>
    <row r="48" ht="19">
      <c r="A48" s="3">
        <v>2023</v>
      </c>
      <c r="B48" s="3">
        <v>18</v>
      </c>
      <c r="C48" s="3" t="inlineStr">
        <is>
          <t>OBWÓD 18</t>
        </is>
      </c>
      <c r="D48" s="4" t="inlineStr">
        <is>
          <t>SZKOŁA PODSTAWOWA NR 18</t>
        </is>
      </c>
      <c r="E48" s="4" t="inlineStr">
        <is>
          <t>Szkoły miejskie (SP nr 1-21)</t>
        </is>
      </c>
      <c r="F48" s="5">
        <v>46</v>
      </c>
      <c r="G48" s="8">
        <v>0.0849</v>
      </c>
    </row>
    <row r="49" ht="19">
      <c r="A49" s="3">
        <v>2023</v>
      </c>
      <c r="B49" s="3">
        <v>20</v>
      </c>
      <c r="C49" s="3" t="inlineStr">
        <is>
          <t>OBWÓD 20</t>
        </is>
      </c>
      <c r="D49" s="4" t="inlineStr">
        <is>
          <t>SZKOŁA PODSTAWOWA NR 20</t>
        </is>
      </c>
      <c r="E49" s="4" t="inlineStr">
        <is>
          <t>Szkoły miejskie (SP nr 1-21)</t>
        </is>
      </c>
      <c r="F49" s="5">
        <v>30</v>
      </c>
      <c r="G49" s="8">
        <v>0.0554</v>
      </c>
    </row>
    <row r="50" ht="19">
      <c r="A50" s="3">
        <v>2023</v>
      </c>
      <c r="B50" s="3">
        <v>21</v>
      </c>
      <c r="C50" s="3" t="inlineStr">
        <is>
          <t>OBWÓD 21</t>
        </is>
      </c>
      <c r="D50" s="4" t="inlineStr">
        <is>
          <t>SZKOŁA PODSTAWOWA NR 21</t>
        </is>
      </c>
      <c r="E50" s="4" t="inlineStr">
        <is>
          <t>Szkoły miejskie (SP nr 1-21)</t>
        </is>
      </c>
      <c r="F50" s="5">
        <v>60</v>
      </c>
      <c r="G50" s="8">
        <v>0.1107</v>
      </c>
    </row>
    <row r="51" ht="19">
      <c r="A51" s="3">
        <v>2023</v>
      </c>
      <c r="B51" s="3">
        <v>22</v>
      </c>
      <c r="C51" s="3" t="inlineStr">
        <is>
          <t>OBWÓD 22</t>
        </is>
      </c>
      <c r="D51" s="4" t="inlineStr">
        <is>
          <t>SZKOŁA PODSTAWOWA W CHEŁMCU</t>
        </is>
      </c>
      <c r="E51" s="4" t="inlineStr">
        <is>
          <t>Obwody podmiejskie (Chełmiec / Piątkowa)</t>
        </is>
      </c>
      <c r="F51" s="5">
        <v>14</v>
      </c>
      <c r="G51" s="8">
        <v>0.0258</v>
      </c>
    </row>
    <row r="52" ht="19">
      <c r="A52" s="3">
        <v>2023</v>
      </c>
      <c r="B52" s="3">
        <v>23</v>
      </c>
      <c r="C52" s="3" t="inlineStr">
        <is>
          <t>OBWÓD 23</t>
        </is>
      </c>
      <c r="D52" s="4" t="inlineStr">
        <is>
          <t>SZKOŁA PODSTAWOWA W PIĄTKOWEJ</t>
        </is>
      </c>
      <c r="E52" s="4" t="inlineStr">
        <is>
          <t>Obwody podmiejskie (Chełmiec / Piątkowa)</t>
        </is>
      </c>
      <c r="F52" s="5">
        <v>18</v>
      </c>
      <c r="G52" s="8">
        <v>0.0332</v>
      </c>
    </row>
    <row r="53" ht="19">
      <c r="A53" s="3">
        <v>2024</v>
      </c>
      <c r="B53" s="3">
        <v>1</v>
      </c>
      <c r="C53" s="3" t="inlineStr">
        <is>
          <t>OBWÓD 1</t>
        </is>
      </c>
      <c r="D53" s="4" t="inlineStr">
        <is>
          <t>SZKOŁA PODSTAWOWA NR 1</t>
        </is>
      </c>
      <c r="E53" s="4" t="inlineStr">
        <is>
          <t>Szkoły miejskie (SP nr 1-21)</t>
        </is>
      </c>
      <c r="F53" s="5">
        <v>19</v>
      </c>
      <c r="G53" s="8">
        <v>0.0403</v>
      </c>
    </row>
    <row r="54" ht="19">
      <c r="A54" s="3">
        <v>2024</v>
      </c>
      <c r="B54" s="3">
        <v>2</v>
      </c>
      <c r="C54" s="3" t="inlineStr">
        <is>
          <t>OBWÓD 2</t>
        </is>
      </c>
      <c r="D54" s="4" t="inlineStr">
        <is>
          <t>SZKOŁA PODSTAWOWA NR 2</t>
        </is>
      </c>
      <c r="E54" s="4" t="inlineStr">
        <is>
          <t>Szkoły miejskie (SP nr 1-21)</t>
        </is>
      </c>
      <c r="F54" s="5">
        <v>15</v>
      </c>
      <c r="G54" s="8">
        <v>0.0318</v>
      </c>
    </row>
    <row r="55" ht="19">
      <c r="A55" s="3">
        <v>2024</v>
      </c>
      <c r="B55" s="3">
        <v>3</v>
      </c>
      <c r="C55" s="3" t="inlineStr">
        <is>
          <t>OBWÓD 3</t>
        </is>
      </c>
      <c r="D55" s="4" t="inlineStr">
        <is>
          <t>SZKOŁA PODSTAWOWA NR 3</t>
        </is>
      </c>
      <c r="E55" s="4" t="inlineStr">
        <is>
          <t>Szkoły miejskie (SP nr 1-21)</t>
        </is>
      </c>
      <c r="F55" s="5">
        <v>37</v>
      </c>
      <c r="G55" s="8">
        <v>0.0786</v>
      </c>
    </row>
    <row r="56" ht="19">
      <c r="A56" s="3">
        <v>2024</v>
      </c>
      <c r="B56" s="3">
        <v>6</v>
      </c>
      <c r="C56" s="3" t="inlineStr">
        <is>
          <t>OBWÓD 6</t>
        </is>
      </c>
      <c r="D56" s="4" t="inlineStr">
        <is>
          <t>SZKOŁA PODSTAWOWA NR 6</t>
        </is>
      </c>
      <c r="E56" s="4" t="inlineStr">
        <is>
          <t>Szkoły miejskie (SP nr 1-21)</t>
        </is>
      </c>
      <c r="F56" s="5">
        <v>11</v>
      </c>
      <c r="G56" s="8">
        <v>0.0234</v>
      </c>
    </row>
    <row r="57" ht="19">
      <c r="A57" s="3">
        <v>2024</v>
      </c>
      <c r="B57" s="3">
        <v>7</v>
      </c>
      <c r="C57" s="3" t="inlineStr">
        <is>
          <t>OBWÓD 7</t>
        </is>
      </c>
      <c r="D57" s="4" t="inlineStr">
        <is>
          <t>SZKOŁA PODSTAWOWA NR 7</t>
        </is>
      </c>
      <c r="E57" s="4" t="inlineStr">
        <is>
          <t>Szkoły miejskie (SP nr 1-21)</t>
        </is>
      </c>
      <c r="F57" s="5">
        <v>17</v>
      </c>
      <c r="G57" s="8">
        <v>0.0361</v>
      </c>
    </row>
    <row r="58" ht="19">
      <c r="A58" s="3">
        <v>2024</v>
      </c>
      <c r="B58" s="3">
        <v>8</v>
      </c>
      <c r="C58" s="3" t="inlineStr">
        <is>
          <t>OBWÓD 8</t>
        </is>
      </c>
      <c r="D58" s="4" t="inlineStr">
        <is>
          <t>SZKOŁA PODSTAWOWA NR 8</t>
        </is>
      </c>
      <c r="E58" s="4" t="inlineStr">
        <is>
          <t>Szkoły miejskie (SP nr 1-21)</t>
        </is>
      </c>
      <c r="F58" s="5">
        <v>31</v>
      </c>
      <c r="G58" s="8">
        <v>0.0658</v>
      </c>
    </row>
    <row r="59" ht="19">
      <c r="A59" s="3">
        <v>2024</v>
      </c>
      <c r="B59" s="3">
        <v>9</v>
      </c>
      <c r="C59" s="3" t="inlineStr">
        <is>
          <t>OBWÓD 9</t>
        </is>
      </c>
      <c r="D59" s="4" t="inlineStr">
        <is>
          <t>SZKOŁA PODSTAWOWA NR 9</t>
        </is>
      </c>
      <c r="E59" s="4" t="inlineStr">
        <is>
          <t>Szkoły miejskie (SP nr 1-21)</t>
        </is>
      </c>
      <c r="F59" s="5">
        <v>51</v>
      </c>
      <c r="G59" s="8">
        <v>0.1083</v>
      </c>
    </row>
    <row r="60" ht="19">
      <c r="A60" s="3">
        <v>2024</v>
      </c>
      <c r="B60" s="3">
        <v>11</v>
      </c>
      <c r="C60" s="3" t="inlineStr">
        <is>
          <t>OBWÓD 11</t>
        </is>
      </c>
      <c r="D60" s="4" t="inlineStr">
        <is>
          <t>SZKOŁA PODSTAWOWA NR 11</t>
        </is>
      </c>
      <c r="E60" s="4" t="inlineStr">
        <is>
          <t>Szkoły miejskie (SP nr 1-21)</t>
        </is>
      </c>
      <c r="F60" s="5">
        <v>9</v>
      </c>
      <c r="G60" s="8">
        <v>0.0191</v>
      </c>
    </row>
    <row r="61" ht="19">
      <c r="A61" s="3">
        <v>2024</v>
      </c>
      <c r="B61" s="3">
        <v>14</v>
      </c>
      <c r="C61" s="3" t="inlineStr">
        <is>
          <t>OBWÓD 14</t>
        </is>
      </c>
      <c r="D61" s="4" t="inlineStr">
        <is>
          <t>SZKOŁA PODSTAWOWA NR 14</t>
        </is>
      </c>
      <c r="E61" s="4" t="inlineStr">
        <is>
          <t>Szkoły miejskie (SP nr 1-21)</t>
        </is>
      </c>
      <c r="F61" s="5">
        <v>14</v>
      </c>
      <c r="G61" s="8">
        <v>0.0297</v>
      </c>
    </row>
    <row r="62" ht="19">
      <c r="A62" s="3">
        <v>2024</v>
      </c>
      <c r="B62" s="3">
        <v>15</v>
      </c>
      <c r="C62" s="3" t="inlineStr">
        <is>
          <t>OBWÓD 15</t>
        </is>
      </c>
      <c r="D62" s="4" t="inlineStr">
        <is>
          <t>SZKOŁA PODSTAWOWA NR 15</t>
        </is>
      </c>
      <c r="E62" s="4" t="inlineStr">
        <is>
          <t>Szkoły miejskie (SP nr 1-21)</t>
        </is>
      </c>
      <c r="F62" s="5">
        <v>37</v>
      </c>
      <c r="G62" s="8">
        <v>0.0786</v>
      </c>
    </row>
    <row r="63" ht="19">
      <c r="A63" s="3">
        <v>2024</v>
      </c>
      <c r="B63" s="3">
        <v>16</v>
      </c>
      <c r="C63" s="3" t="inlineStr">
        <is>
          <t>OBWÓD 16</t>
        </is>
      </c>
      <c r="D63" s="4" t="inlineStr">
        <is>
          <t>SZKOŁA PODSTAWOWA NR 16</t>
        </is>
      </c>
      <c r="E63" s="4" t="inlineStr">
        <is>
          <t>Szkoły miejskie (SP nr 1-21)</t>
        </is>
      </c>
      <c r="F63" s="5">
        <v>34</v>
      </c>
      <c r="G63" s="8">
        <v>0.0722</v>
      </c>
    </row>
    <row r="64" ht="19">
      <c r="A64" s="3">
        <v>2024</v>
      </c>
      <c r="B64" s="3">
        <v>17</v>
      </c>
      <c r="C64" s="3" t="inlineStr">
        <is>
          <t>OBWÓD 17</t>
        </is>
      </c>
      <c r="D64" s="4" t="inlineStr">
        <is>
          <t>SZKOŁA PODSTAWOWA NR 17</t>
        </is>
      </c>
      <c r="E64" s="4" t="inlineStr">
        <is>
          <t>Szkoły miejskie (SP nr 1-21)</t>
        </is>
      </c>
      <c r="F64" s="5">
        <v>39</v>
      </c>
      <c r="G64" s="8">
        <v>0.0828</v>
      </c>
    </row>
    <row r="65" ht="19">
      <c r="A65" s="3">
        <v>2024</v>
      </c>
      <c r="B65" s="3">
        <v>18</v>
      </c>
      <c r="C65" s="3" t="inlineStr">
        <is>
          <t>OBWÓD 18</t>
        </is>
      </c>
      <c r="D65" s="4" t="inlineStr">
        <is>
          <t>SZKOŁA PODSTAWOWA NR 18</t>
        </is>
      </c>
      <c r="E65" s="4" t="inlineStr">
        <is>
          <t>Szkoły miejskie (SP nr 1-21)</t>
        </is>
      </c>
      <c r="F65" s="5">
        <v>31</v>
      </c>
      <c r="G65" s="8">
        <v>0.0658</v>
      </c>
    </row>
    <row r="66" ht="19">
      <c r="A66" s="3">
        <v>2024</v>
      </c>
      <c r="B66" s="3">
        <v>20</v>
      </c>
      <c r="C66" s="3" t="inlineStr">
        <is>
          <t>OBWÓD 20</t>
        </is>
      </c>
      <c r="D66" s="4" t="inlineStr">
        <is>
          <t>SZKOŁA PODSTAWOWA NR 20</t>
        </is>
      </c>
      <c r="E66" s="4" t="inlineStr">
        <is>
          <t>Szkoły miejskie (SP nr 1-21)</t>
        </is>
      </c>
      <c r="F66" s="5">
        <v>36</v>
      </c>
      <c r="G66" s="8">
        <v>0.0764</v>
      </c>
    </row>
    <row r="67" ht="19">
      <c r="A67" s="3">
        <v>2024</v>
      </c>
      <c r="B67" s="3">
        <v>21</v>
      </c>
      <c r="C67" s="3" t="inlineStr">
        <is>
          <t>OBWÓD 21</t>
        </is>
      </c>
      <c r="D67" s="4" t="inlineStr">
        <is>
          <t>SZKOŁA PODSTAWOWA NR 21</t>
        </is>
      </c>
      <c r="E67" s="4" t="inlineStr">
        <is>
          <t>Szkoły miejskie (SP nr 1-21)</t>
        </is>
      </c>
      <c r="F67" s="5">
        <v>55</v>
      </c>
      <c r="G67" s="8">
        <v>0.1168</v>
      </c>
    </row>
    <row r="68" ht="19">
      <c r="A68" s="3">
        <v>2024</v>
      </c>
      <c r="B68" s="3">
        <v>22</v>
      </c>
      <c r="C68" s="3" t="inlineStr">
        <is>
          <t>OBWÓD 22</t>
        </is>
      </c>
      <c r="D68" s="4" t="inlineStr">
        <is>
          <t>SZKOŁA PODSTAWOWA W CHEŁMCU</t>
        </is>
      </c>
      <c r="E68" s="4" t="inlineStr">
        <is>
          <t>Obwody podmiejskie (Chełmiec / Piątkowa)</t>
        </is>
      </c>
      <c r="F68" s="5">
        <v>18</v>
      </c>
      <c r="G68" s="8">
        <v>0.0382</v>
      </c>
    </row>
    <row r="69" ht="19">
      <c r="A69" s="3">
        <v>2024</v>
      </c>
      <c r="B69" s="3">
        <v>23</v>
      </c>
      <c r="C69" s="3" t="inlineStr">
        <is>
          <t>OBWÓD 23</t>
        </is>
      </c>
      <c r="D69" s="4" t="inlineStr">
        <is>
          <t>SZKOŁA PODSTAWOWA W PIĄTKOWEJ</t>
        </is>
      </c>
      <c r="E69" s="4" t="inlineStr">
        <is>
          <t>Obwody podmiejskie (Chełmiec / Piątkowa)</t>
        </is>
      </c>
      <c r="F69" s="5">
        <v>17</v>
      </c>
      <c r="G69" s="8">
        <v>0.0361</v>
      </c>
    </row>
    <row r="70" ht="19">
      <c r="A70" s="3">
        <v>2025</v>
      </c>
      <c r="B70" s="3">
        <v>1</v>
      </c>
      <c r="C70" s="3" t="inlineStr">
        <is>
          <t>OBWÓD 1</t>
        </is>
      </c>
      <c r="D70" s="4" t="inlineStr">
        <is>
          <t>SZKOŁA PODSTAWOWA NR 1</t>
        </is>
      </c>
      <c r="E70" s="4" t="inlineStr">
        <is>
          <t>Szkoły miejskie (SP nr 1-21)</t>
        </is>
      </c>
      <c r="F70" s="5">
        <v>18</v>
      </c>
      <c r="G70" s="8">
        <v>0.0433</v>
      </c>
    </row>
    <row r="71" ht="19">
      <c r="A71" s="3">
        <v>2025</v>
      </c>
      <c r="B71" s="3">
        <v>2</v>
      </c>
      <c r="C71" s="3" t="inlineStr">
        <is>
          <t>OBWÓD 2</t>
        </is>
      </c>
      <c r="D71" s="4" t="inlineStr">
        <is>
          <t>SZKOŁA PODSTAWOWA NR 2</t>
        </is>
      </c>
      <c r="E71" s="4" t="inlineStr">
        <is>
          <t>Szkoły miejskie (SP nr 1-21)</t>
        </is>
      </c>
      <c r="F71" s="5">
        <v>17</v>
      </c>
      <c r="G71" s="8">
        <v>0.0409</v>
      </c>
    </row>
    <row r="72" ht="19">
      <c r="A72" s="3">
        <v>2025</v>
      </c>
      <c r="B72" s="3">
        <v>3</v>
      </c>
      <c r="C72" s="3" t="inlineStr">
        <is>
          <t>OBWÓD 3</t>
        </is>
      </c>
      <c r="D72" s="4" t="inlineStr">
        <is>
          <t>SZKOŁA PODSTAWOWA NR 3</t>
        </is>
      </c>
      <c r="E72" s="4" t="inlineStr">
        <is>
          <t>Szkoły miejskie (SP nr 1-21)</t>
        </is>
      </c>
      <c r="F72" s="5">
        <v>44</v>
      </c>
      <c r="G72" s="8">
        <v>0.1058</v>
      </c>
    </row>
    <row r="73" ht="19">
      <c r="A73" s="3">
        <v>2025</v>
      </c>
      <c r="B73" s="3">
        <v>6</v>
      </c>
      <c r="C73" s="3" t="inlineStr">
        <is>
          <t>OBWÓD 6</t>
        </is>
      </c>
      <c r="D73" s="4" t="inlineStr">
        <is>
          <t>SZKOŁA PODSTAWOWA NR 6</t>
        </is>
      </c>
      <c r="E73" s="4" t="inlineStr">
        <is>
          <t>Szkoły miejskie (SP nr 1-21)</t>
        </is>
      </c>
      <c r="F73" s="5">
        <v>11</v>
      </c>
      <c r="G73" s="8">
        <v>0.0264</v>
      </c>
    </row>
    <row r="74" ht="19">
      <c r="A74" s="3">
        <v>2025</v>
      </c>
      <c r="B74" s="3">
        <v>7</v>
      </c>
      <c r="C74" s="3" t="inlineStr">
        <is>
          <t>OBWÓD 7</t>
        </is>
      </c>
      <c r="D74" s="4" t="inlineStr">
        <is>
          <t>SZKOŁA PODSTAWOWA NR 7</t>
        </is>
      </c>
      <c r="E74" s="4" t="inlineStr">
        <is>
          <t>Szkoły miejskie (SP nr 1-21)</t>
        </is>
      </c>
      <c r="F74" s="5">
        <v>23</v>
      </c>
      <c r="G74" s="8">
        <v>0.0553</v>
      </c>
    </row>
    <row r="75" ht="19">
      <c r="A75" s="3">
        <v>2025</v>
      </c>
      <c r="B75" s="3">
        <v>8</v>
      </c>
      <c r="C75" s="3" t="inlineStr">
        <is>
          <t>OBWÓD 8</t>
        </is>
      </c>
      <c r="D75" s="4" t="inlineStr">
        <is>
          <t>SZKOŁA PODSTAWOWA NR 8</t>
        </is>
      </c>
      <c r="E75" s="4" t="inlineStr">
        <is>
          <t>Szkoły miejskie (SP nr 1-21)</t>
        </is>
      </c>
      <c r="F75" s="5">
        <v>27</v>
      </c>
      <c r="G75" s="8">
        <v>0.0649</v>
      </c>
    </row>
    <row r="76" ht="19">
      <c r="A76" s="3">
        <v>2025</v>
      </c>
      <c r="B76" s="3">
        <v>9</v>
      </c>
      <c r="C76" s="3" t="inlineStr">
        <is>
          <t>OBWÓD 9</t>
        </is>
      </c>
      <c r="D76" s="4" t="inlineStr">
        <is>
          <t>SZKOŁA PODSTAWOWA NR 9</t>
        </is>
      </c>
      <c r="E76" s="4" t="inlineStr">
        <is>
          <t>Szkoły miejskie (SP nr 1-21)</t>
        </is>
      </c>
      <c r="F76" s="5">
        <v>27</v>
      </c>
      <c r="G76" s="8">
        <v>0.0649</v>
      </c>
    </row>
    <row r="77" ht="19">
      <c r="A77" s="3">
        <v>2025</v>
      </c>
      <c r="B77" s="3">
        <v>11</v>
      </c>
      <c r="C77" s="3" t="inlineStr">
        <is>
          <t>OBWÓD 11</t>
        </is>
      </c>
      <c r="D77" s="4" t="inlineStr">
        <is>
          <t>SZKOŁA PODSTAWOWA NR 11</t>
        </is>
      </c>
      <c r="E77" s="4" t="inlineStr">
        <is>
          <t>Szkoły miejskie (SP nr 1-21)</t>
        </is>
      </c>
      <c r="F77" s="5">
        <v>12</v>
      </c>
      <c r="G77" s="8">
        <v>0.0288</v>
      </c>
    </row>
    <row r="78" ht="19">
      <c r="A78" s="3">
        <v>2025</v>
      </c>
      <c r="B78" s="3">
        <v>14</v>
      </c>
      <c r="C78" s="3" t="inlineStr">
        <is>
          <t>OBWÓD 14</t>
        </is>
      </c>
      <c r="D78" s="4" t="inlineStr">
        <is>
          <t>SZKOŁA PODSTAWOWA NR 14</t>
        </is>
      </c>
      <c r="E78" s="4" t="inlineStr">
        <is>
          <t>Szkoły miejskie (SP nr 1-21)</t>
        </is>
      </c>
      <c r="F78" s="5">
        <v>8</v>
      </c>
      <c r="G78" s="8">
        <v>0.0192</v>
      </c>
    </row>
    <row r="79" ht="19">
      <c r="A79" s="3">
        <v>2025</v>
      </c>
      <c r="B79" s="3">
        <v>15</v>
      </c>
      <c r="C79" s="3" t="inlineStr">
        <is>
          <t>OBWÓD 15</t>
        </is>
      </c>
      <c r="D79" s="4" t="inlineStr">
        <is>
          <t>SZKOŁA PODSTAWOWA NR 15</t>
        </is>
      </c>
      <c r="E79" s="4" t="inlineStr">
        <is>
          <t>Szkoły miejskie (SP nr 1-21)</t>
        </is>
      </c>
      <c r="F79" s="5">
        <v>37</v>
      </c>
      <c r="G79" s="8">
        <v>0.0889</v>
      </c>
    </row>
    <row r="80" ht="19">
      <c r="A80" s="3">
        <v>2025</v>
      </c>
      <c r="B80" s="3">
        <v>16</v>
      </c>
      <c r="C80" s="3" t="inlineStr">
        <is>
          <t>OBWÓD 16</t>
        </is>
      </c>
      <c r="D80" s="4" t="inlineStr">
        <is>
          <t>SZKOŁA PODSTAWOWA NR 16</t>
        </is>
      </c>
      <c r="E80" s="4" t="inlineStr">
        <is>
          <t>Szkoły miejskie (SP nr 1-21)</t>
        </is>
      </c>
      <c r="F80" s="5">
        <v>30</v>
      </c>
      <c r="G80" s="8">
        <v>0.0721</v>
      </c>
    </row>
    <row r="81" ht="19">
      <c r="A81" s="3">
        <v>2025</v>
      </c>
      <c r="B81" s="3">
        <v>17</v>
      </c>
      <c r="C81" s="3" t="inlineStr">
        <is>
          <t>OBWÓD 17</t>
        </is>
      </c>
      <c r="D81" s="4" t="inlineStr">
        <is>
          <t>SZKOŁA PODSTAWOWA NR 17</t>
        </is>
      </c>
      <c r="E81" s="4" t="inlineStr">
        <is>
          <t>Szkoły miejskie (SP nr 1-21)</t>
        </is>
      </c>
      <c r="F81" s="5">
        <v>26</v>
      </c>
      <c r="G81" s="8">
        <v>0.0625</v>
      </c>
    </row>
    <row r="82" ht="19">
      <c r="A82" s="3">
        <v>2025</v>
      </c>
      <c r="B82" s="3">
        <v>18</v>
      </c>
      <c r="C82" s="3" t="inlineStr">
        <is>
          <t>OBWÓD 18</t>
        </is>
      </c>
      <c r="D82" s="4" t="inlineStr">
        <is>
          <t>SZKOŁA PODSTAWOWA NR 18</t>
        </is>
      </c>
      <c r="E82" s="4" t="inlineStr">
        <is>
          <t>Szkoły miejskie (SP nr 1-21)</t>
        </is>
      </c>
      <c r="F82" s="5">
        <v>37</v>
      </c>
      <c r="G82" s="8">
        <v>0.0889</v>
      </c>
    </row>
    <row r="83" ht="19">
      <c r="A83" s="3">
        <v>2025</v>
      </c>
      <c r="B83" s="3">
        <v>20</v>
      </c>
      <c r="C83" s="3" t="inlineStr">
        <is>
          <t>OBWÓD 20</t>
        </is>
      </c>
      <c r="D83" s="4" t="inlineStr">
        <is>
          <t>SZKOŁA PODSTAWOWA NR 20</t>
        </is>
      </c>
      <c r="E83" s="4" t="inlineStr">
        <is>
          <t>Szkoły miejskie (SP nr 1-21)</t>
        </is>
      </c>
      <c r="F83" s="5">
        <v>26</v>
      </c>
      <c r="G83" s="8">
        <v>0.0625</v>
      </c>
    </row>
    <row r="84" ht="19">
      <c r="A84" s="3">
        <v>2025</v>
      </c>
      <c r="B84" s="3">
        <v>21</v>
      </c>
      <c r="C84" s="3" t="inlineStr">
        <is>
          <t>OBWÓD 21</t>
        </is>
      </c>
      <c r="D84" s="4" t="inlineStr">
        <is>
          <t>SZKOŁA PODSTAWOWA NR 21</t>
        </is>
      </c>
      <c r="E84" s="4" t="inlineStr">
        <is>
          <t>Szkoły miejskie (SP nr 1-21)</t>
        </is>
      </c>
      <c r="F84" s="5">
        <v>44</v>
      </c>
      <c r="G84" s="8">
        <v>0.1058</v>
      </c>
    </row>
    <row r="85" ht="19">
      <c r="A85" s="3">
        <v>2025</v>
      </c>
      <c r="B85" s="3">
        <v>22</v>
      </c>
      <c r="C85" s="3" t="inlineStr">
        <is>
          <t>OBWÓD 22</t>
        </is>
      </c>
      <c r="D85" s="4" t="inlineStr">
        <is>
          <t>SZKOŁA PODSTAWOWA W CHEŁMCU</t>
        </is>
      </c>
      <c r="E85" s="4" t="inlineStr">
        <is>
          <t>Obwody podmiejskie (Chełmiec / Piątkowa)</t>
        </is>
      </c>
      <c r="F85" s="5">
        <v>15</v>
      </c>
      <c r="G85" s="8">
        <v>0.0361</v>
      </c>
    </row>
    <row r="86" ht="19">
      <c r="A86" s="3">
        <v>2025</v>
      </c>
      <c r="B86" s="3">
        <v>23</v>
      </c>
      <c r="C86" s="3" t="inlineStr">
        <is>
          <t>OBWÓD 23</t>
        </is>
      </c>
      <c r="D86" s="4" t="inlineStr">
        <is>
          <t>SZKOŁA PODSTAWOWA W PIĄTKOWEJ</t>
        </is>
      </c>
      <c r="E86" s="4" t="inlineStr">
        <is>
          <t>Obwody podmiejskie (Chełmiec / Piątkowa)</t>
        </is>
      </c>
      <c r="F86" s="5">
        <v>14</v>
      </c>
      <c r="G86" s="8">
        <v>0.0337</v>
      </c>
    </row>
    <row r="87" ht="19">
      <c r="A87" s="3">
        <v>2026</v>
      </c>
      <c r="B87" s="3">
        <v>1</v>
      </c>
      <c r="C87" s="3" t="inlineStr">
        <is>
          <t>OBWÓD 1</t>
        </is>
      </c>
      <c r="D87" s="4" t="inlineStr">
        <is>
          <t>SZKOŁA PODSTAWOWA NR 1</t>
        </is>
      </c>
      <c r="E87" s="4" t="inlineStr">
        <is>
          <t>Szkoły miejskie (SP nr 1-21)</t>
        </is>
      </c>
      <c r="F87" s="5">
        <v>28</v>
      </c>
      <c r="G87" s="8">
        <v>0.0789</v>
      </c>
    </row>
    <row r="88" ht="19">
      <c r="A88" s="3">
        <v>2026</v>
      </c>
      <c r="B88" s="3">
        <v>2</v>
      </c>
      <c r="C88" s="3" t="inlineStr">
        <is>
          <t>OBWÓD 2</t>
        </is>
      </c>
      <c r="D88" s="4" t="inlineStr">
        <is>
          <t>SZKOŁA PODSTAWOWA NR 2</t>
        </is>
      </c>
      <c r="E88" s="4" t="inlineStr">
        <is>
          <t>Szkoły miejskie (SP nr 1-21)</t>
        </is>
      </c>
      <c r="F88" s="5">
        <v>21</v>
      </c>
      <c r="G88" s="8">
        <v>0.0592</v>
      </c>
    </row>
    <row r="89" ht="19">
      <c r="A89" s="3">
        <v>2026</v>
      </c>
      <c r="B89" s="3">
        <v>3</v>
      </c>
      <c r="C89" s="3" t="inlineStr">
        <is>
          <t>OBWÓD 3</t>
        </is>
      </c>
      <c r="D89" s="4" t="inlineStr">
        <is>
          <t>SZKOŁA PODSTAWOWA NR 3</t>
        </is>
      </c>
      <c r="E89" s="4" t="inlineStr">
        <is>
          <t>Szkoły miejskie (SP nr 1-21)</t>
        </is>
      </c>
      <c r="F89" s="5">
        <v>20</v>
      </c>
      <c r="G89" s="8">
        <v>0.0563</v>
      </c>
    </row>
    <row r="90" ht="19">
      <c r="A90" s="3">
        <v>2026</v>
      </c>
      <c r="B90" s="3">
        <v>6</v>
      </c>
      <c r="C90" s="3" t="inlineStr">
        <is>
          <t>OBWÓD 6</t>
        </is>
      </c>
      <c r="D90" s="4" t="inlineStr">
        <is>
          <t>SZKOŁA PODSTAWOWA NR 6</t>
        </is>
      </c>
      <c r="E90" s="4" t="inlineStr">
        <is>
          <t>Szkoły miejskie (SP nr 1-21)</t>
        </is>
      </c>
      <c r="F90" s="5">
        <v>9</v>
      </c>
      <c r="G90" s="8">
        <v>0.0254</v>
      </c>
    </row>
    <row r="91" ht="19">
      <c r="A91" s="3">
        <v>2026</v>
      </c>
      <c r="B91" s="3">
        <v>7</v>
      </c>
      <c r="C91" s="3" t="inlineStr">
        <is>
          <t>OBWÓD 7</t>
        </is>
      </c>
      <c r="D91" s="4" t="inlineStr">
        <is>
          <t>SZKOŁA PODSTAWOWA NR 7</t>
        </is>
      </c>
      <c r="E91" s="4" t="inlineStr">
        <is>
          <t>Szkoły miejskie (SP nr 1-21)</t>
        </is>
      </c>
      <c r="F91" s="5">
        <v>22</v>
      </c>
      <c r="G91" s="8">
        <v>0.062</v>
      </c>
    </row>
    <row r="92" ht="19">
      <c r="A92" s="3">
        <v>2026</v>
      </c>
      <c r="B92" s="3">
        <v>8</v>
      </c>
      <c r="C92" s="3" t="inlineStr">
        <is>
          <t>OBWÓD 8</t>
        </is>
      </c>
      <c r="D92" s="4" t="inlineStr">
        <is>
          <t>SZKOŁA PODSTAWOWA NR 8</t>
        </is>
      </c>
      <c r="E92" s="4" t="inlineStr">
        <is>
          <t>Szkoły miejskie (SP nr 1-21)</t>
        </is>
      </c>
      <c r="F92" s="5">
        <v>26</v>
      </c>
      <c r="G92" s="8">
        <v>0.0732</v>
      </c>
    </row>
    <row r="93" ht="19">
      <c r="A93" s="3">
        <v>2026</v>
      </c>
      <c r="B93" s="3">
        <v>9</v>
      </c>
      <c r="C93" s="3" t="inlineStr">
        <is>
          <t>OBWÓD 9</t>
        </is>
      </c>
      <c r="D93" s="4" t="inlineStr">
        <is>
          <t>SZKOŁA PODSTAWOWA NR 9</t>
        </is>
      </c>
      <c r="E93" s="4" t="inlineStr">
        <is>
          <t>Szkoły miejskie (SP nr 1-21)</t>
        </is>
      </c>
      <c r="F93" s="5">
        <v>26</v>
      </c>
      <c r="G93" s="8">
        <v>0.0732</v>
      </c>
    </row>
    <row r="94" ht="19">
      <c r="A94" s="3">
        <v>2026</v>
      </c>
      <c r="B94" s="3">
        <v>11</v>
      </c>
      <c r="C94" s="3" t="inlineStr">
        <is>
          <t>OBWÓD 11</t>
        </is>
      </c>
      <c r="D94" s="4" t="inlineStr">
        <is>
          <t>SZKOŁA PODSTAWOWA NR 11</t>
        </is>
      </c>
      <c r="E94" s="4" t="inlineStr">
        <is>
          <t>Szkoły miejskie (SP nr 1-21)</t>
        </is>
      </c>
      <c r="F94" s="5">
        <v>8</v>
      </c>
      <c r="G94" s="8">
        <v>0.0225</v>
      </c>
    </row>
    <row r="95" ht="19">
      <c r="A95" s="3">
        <v>2026</v>
      </c>
      <c r="B95" s="3">
        <v>14</v>
      </c>
      <c r="C95" s="3" t="inlineStr">
        <is>
          <t>OBWÓD 14</t>
        </is>
      </c>
      <c r="D95" s="4" t="inlineStr">
        <is>
          <t>SZKOŁA PODSTAWOWA NR 14</t>
        </is>
      </c>
      <c r="E95" s="4" t="inlineStr">
        <is>
          <t>Szkoły miejskie (SP nr 1-21)</t>
        </is>
      </c>
      <c r="F95" s="5">
        <v>6</v>
      </c>
      <c r="G95" s="8">
        <v>0.0169</v>
      </c>
    </row>
    <row r="96" ht="19">
      <c r="A96" s="3">
        <v>2026</v>
      </c>
      <c r="B96" s="3">
        <v>15</v>
      </c>
      <c r="C96" s="3" t="inlineStr">
        <is>
          <t>OBWÓD 15</t>
        </is>
      </c>
      <c r="D96" s="4" t="inlineStr">
        <is>
          <t>SZKOŁA PODSTAWOWA NR 15</t>
        </is>
      </c>
      <c r="E96" s="4" t="inlineStr">
        <is>
          <t>Szkoły miejskie (SP nr 1-21)</t>
        </is>
      </c>
      <c r="F96" s="5">
        <v>17</v>
      </c>
      <c r="G96" s="8">
        <v>0.0479</v>
      </c>
    </row>
    <row r="97" ht="19">
      <c r="A97" s="3">
        <v>2026</v>
      </c>
      <c r="B97" s="3">
        <v>16</v>
      </c>
      <c r="C97" s="3" t="inlineStr">
        <is>
          <t>OBWÓD 16</t>
        </is>
      </c>
      <c r="D97" s="4" t="inlineStr">
        <is>
          <t>SZKOŁA PODSTAWOWA NR 16</t>
        </is>
      </c>
      <c r="E97" s="4" t="inlineStr">
        <is>
          <t>Szkoły miejskie (SP nr 1-21)</t>
        </is>
      </c>
      <c r="F97" s="5">
        <v>37</v>
      </c>
      <c r="G97" s="8">
        <v>0.1042</v>
      </c>
    </row>
    <row r="98" ht="19">
      <c r="A98" s="3">
        <v>2026</v>
      </c>
      <c r="B98" s="3">
        <v>17</v>
      </c>
      <c r="C98" s="3" t="inlineStr">
        <is>
          <t>OBWÓD 17</t>
        </is>
      </c>
      <c r="D98" s="4" t="inlineStr">
        <is>
          <t>SZKOŁA PODSTAWOWA NR 17</t>
        </is>
      </c>
      <c r="E98" s="4" t="inlineStr">
        <is>
          <t>Szkoły miejskie (SP nr 1-21)</t>
        </is>
      </c>
      <c r="F98" s="5">
        <v>27</v>
      </c>
      <c r="G98" s="8">
        <v>0.0761</v>
      </c>
    </row>
    <row r="99" ht="19">
      <c r="A99" s="3">
        <v>2026</v>
      </c>
      <c r="B99" s="3">
        <v>18</v>
      </c>
      <c r="C99" s="3" t="inlineStr">
        <is>
          <t>OBWÓD 18</t>
        </is>
      </c>
      <c r="D99" s="4" t="inlineStr">
        <is>
          <t>SZKOŁA PODSTAWOWA NR 18</t>
        </is>
      </c>
      <c r="E99" s="4" t="inlineStr">
        <is>
          <t>Szkoły miejskie (SP nr 1-21)</t>
        </is>
      </c>
      <c r="F99" s="5">
        <v>23</v>
      </c>
      <c r="G99" s="8">
        <v>0.0648</v>
      </c>
    </row>
    <row r="100" ht="19">
      <c r="A100" s="3">
        <v>2026</v>
      </c>
      <c r="B100" s="3">
        <v>20</v>
      </c>
      <c r="C100" s="3" t="inlineStr">
        <is>
          <t>OBWÓD 20</t>
        </is>
      </c>
      <c r="D100" s="4" t="inlineStr">
        <is>
          <t>SZKOŁA PODSTAWOWA NR 20</t>
        </is>
      </c>
      <c r="E100" s="4" t="inlineStr">
        <is>
          <t>Szkoły miejskie (SP nr 1-21)</t>
        </is>
      </c>
      <c r="F100" s="5">
        <v>23</v>
      </c>
      <c r="G100" s="8">
        <v>0.0648</v>
      </c>
    </row>
    <row r="101" ht="19">
      <c r="A101" s="3">
        <v>2026</v>
      </c>
      <c r="B101" s="3">
        <v>21</v>
      </c>
      <c r="C101" s="3" t="inlineStr">
        <is>
          <t>OBWÓD 21</t>
        </is>
      </c>
      <c r="D101" s="4" t="inlineStr">
        <is>
          <t>SZKOŁA PODSTAWOWA NR 21</t>
        </is>
      </c>
      <c r="E101" s="4" t="inlineStr">
        <is>
          <t>Szkoły miejskie (SP nr 1-21)</t>
        </is>
      </c>
      <c r="F101" s="5">
        <v>32</v>
      </c>
      <c r="G101" s="8">
        <v>0.0901</v>
      </c>
    </row>
    <row r="102" ht="19">
      <c r="A102" s="3">
        <v>2026</v>
      </c>
      <c r="B102" s="3">
        <v>22</v>
      </c>
      <c r="C102" s="3" t="inlineStr">
        <is>
          <t>OBWÓD 22</t>
        </is>
      </c>
      <c r="D102" s="4" t="inlineStr">
        <is>
          <t>SZKOŁA PODSTAWOWA W CHEŁMCU</t>
        </is>
      </c>
      <c r="E102" s="4" t="inlineStr">
        <is>
          <t>Obwody podmiejskie (Chełmiec / Piątkowa)</t>
        </is>
      </c>
      <c r="F102" s="5">
        <v>14</v>
      </c>
      <c r="G102" s="8">
        <v>0.0394</v>
      </c>
    </row>
    <row r="103" ht="19">
      <c r="A103" s="3">
        <v>2026</v>
      </c>
      <c r="B103" s="3">
        <v>23</v>
      </c>
      <c r="C103" s="3" t="inlineStr">
        <is>
          <t>OBWÓD 23</t>
        </is>
      </c>
      <c r="D103" s="4" t="inlineStr">
        <is>
          <t>SZKOŁA PODSTAWOWA W PIĄTKOWEJ</t>
        </is>
      </c>
      <c r="E103" s="4" t="inlineStr">
        <is>
          <t>Obwody podmiejskie (Chełmiec / Piątkowa)</t>
        </is>
      </c>
      <c r="F103" s="5">
        <v>16</v>
      </c>
      <c r="G103" s="8">
        <v>0.0451</v>
      </c>
    </row>
  </sheetData>
  <autoFilter ref="A1:G103"/>
</worksheet>
</file>